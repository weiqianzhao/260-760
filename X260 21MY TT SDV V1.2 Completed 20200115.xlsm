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yu.yuan\Desktop\"/>
    </mc:Choice>
  </mc:AlternateContent>
  <bookViews>
    <workbookView xWindow="0" yWindow="0" windowWidth="20430" windowHeight="7470"/>
  </bookViews>
  <sheets>
    <sheet name="260" sheetId="55" r:id="rId1"/>
    <sheet name="Change Log" sheetId="20" r:id="rId2"/>
    <sheet name="OXO Update Log" sheetId="43" r:id="rId3"/>
    <sheet name="Process" sheetId="40" r:id="rId4"/>
    <sheet name="EFG" sheetId="54" r:id="rId5"/>
    <sheet name="Glossary" sheetId="41" r:id="rId6"/>
    <sheet name="ORM Log" sheetId="45" r:id="rId7"/>
    <sheet name="XCL ORM Log" sheetId="48" r:id="rId8"/>
    <sheet name="Prev ORM Log" sheetId="46" state="hidden" r:id="rId9"/>
    <sheet name="Prev XCL ORM Log" sheetId="49" state="hidden" r:id="rId10"/>
    <sheet name="Data" sheetId="44" r:id="rId11"/>
  </sheets>
  <functionGroups builtInGroupCount="18"/>
  <definedNames>
    <definedName name="_xlnm._FilterDatabase" localSheetId="0" hidden="1">'260'!$A$45:$Y$210</definedName>
    <definedName name="_xlnm._FilterDatabase" localSheetId="10" hidden="1">Data!$A$1:$N$436</definedName>
    <definedName name="_xlnm._FilterDatabase" localSheetId="4" hidden="1">EFG!#REF!</definedName>
  </definedNames>
  <calcPr calcId="162913"/>
</workbook>
</file>

<file path=xl/calcChain.xml><?xml version="1.0" encoding="utf-8"?>
<calcChain xmlns="http://schemas.openxmlformats.org/spreadsheetml/2006/main">
  <c r="X45" i="55" l="1"/>
  <c r="X46" i="55"/>
  <c r="X47" i="55"/>
  <c r="X48" i="55"/>
  <c r="X49" i="55"/>
  <c r="X50" i="55"/>
  <c r="X51" i="55"/>
  <c r="X52" i="55"/>
  <c r="X53" i="55"/>
  <c r="X54" i="55"/>
  <c r="X55" i="55"/>
  <c r="X56" i="55"/>
  <c r="X57" i="55"/>
  <c r="X58" i="55"/>
  <c r="X59" i="55"/>
  <c r="X60" i="55"/>
  <c r="X61" i="55"/>
  <c r="X62" i="55"/>
  <c r="X63" i="55"/>
  <c r="X64" i="55"/>
  <c r="X65" i="55"/>
  <c r="X66" i="55"/>
  <c r="X67" i="55"/>
  <c r="X68" i="55"/>
  <c r="X69" i="55"/>
  <c r="X70" i="55"/>
  <c r="X71" i="55"/>
  <c r="X72" i="55"/>
  <c r="X73" i="55"/>
  <c r="X74" i="55"/>
  <c r="X75" i="55"/>
  <c r="X76" i="55"/>
  <c r="X77" i="55"/>
  <c r="X78" i="55"/>
  <c r="X79" i="55"/>
  <c r="X80" i="55"/>
  <c r="X81" i="55"/>
  <c r="X82" i="55"/>
  <c r="X83" i="55"/>
  <c r="X84" i="55"/>
  <c r="X85" i="55"/>
  <c r="X86" i="55"/>
  <c r="X87" i="55"/>
  <c r="X88" i="55"/>
  <c r="X89" i="55"/>
  <c r="X90" i="55"/>
  <c r="X91" i="55"/>
  <c r="X92" i="55"/>
  <c r="X93" i="55"/>
  <c r="X94" i="55"/>
  <c r="X95" i="55"/>
  <c r="X96" i="55"/>
  <c r="X97" i="55"/>
  <c r="X98" i="55"/>
  <c r="X99" i="55"/>
  <c r="X100" i="55"/>
  <c r="X101" i="55"/>
  <c r="X102" i="55"/>
  <c r="X103" i="55"/>
  <c r="X104" i="55"/>
  <c r="X105" i="55"/>
  <c r="X106" i="55"/>
  <c r="X107" i="55"/>
  <c r="X108" i="55"/>
  <c r="X109" i="55"/>
  <c r="X110" i="55"/>
  <c r="X111" i="55"/>
  <c r="X112" i="55"/>
  <c r="X113" i="55"/>
  <c r="X114" i="55"/>
  <c r="X115" i="55"/>
  <c r="X116" i="55"/>
  <c r="X117" i="55"/>
  <c r="X118" i="55"/>
  <c r="X119" i="55"/>
  <c r="X120" i="55"/>
  <c r="X121" i="55"/>
  <c r="X122" i="55"/>
  <c r="X123" i="55"/>
  <c r="X124" i="55"/>
  <c r="X125" i="55"/>
  <c r="X126" i="55"/>
  <c r="X127" i="55"/>
  <c r="X128" i="55"/>
  <c r="X129" i="55"/>
  <c r="X130" i="55"/>
  <c r="X131" i="55"/>
  <c r="X132" i="55"/>
  <c r="X133" i="55"/>
  <c r="X134" i="55"/>
  <c r="X135" i="55"/>
  <c r="X136" i="55"/>
  <c r="X137" i="55"/>
  <c r="X138" i="55"/>
  <c r="X139" i="55"/>
  <c r="X140" i="55"/>
  <c r="X141" i="55"/>
  <c r="X142" i="55"/>
  <c r="X143" i="55"/>
  <c r="X144" i="55"/>
  <c r="X145" i="55"/>
  <c r="X146" i="55"/>
  <c r="X147" i="55"/>
  <c r="X148" i="55"/>
  <c r="X149" i="55"/>
  <c r="X150" i="55"/>
  <c r="X151" i="55"/>
  <c r="X152" i="55"/>
  <c r="X153" i="55"/>
  <c r="X154" i="55"/>
  <c r="X155" i="55"/>
  <c r="X156" i="55"/>
  <c r="X157" i="55"/>
  <c r="X158" i="55"/>
  <c r="X159" i="55"/>
  <c r="X160" i="55"/>
  <c r="X161" i="55"/>
  <c r="X162" i="55"/>
  <c r="X163" i="55"/>
  <c r="X164" i="55"/>
  <c r="X165" i="55"/>
  <c r="X166" i="55"/>
  <c r="X167" i="55"/>
  <c r="X168" i="55"/>
  <c r="X169" i="55"/>
  <c r="X170" i="55"/>
  <c r="X171" i="55"/>
  <c r="X172" i="55"/>
  <c r="X173" i="55"/>
  <c r="X174" i="55"/>
  <c r="X175" i="55"/>
  <c r="X176" i="55"/>
  <c r="X177" i="55"/>
  <c r="X178" i="55"/>
  <c r="X179" i="55"/>
  <c r="X180" i="55"/>
  <c r="X181" i="55"/>
  <c r="X182" i="55"/>
  <c r="X183" i="55"/>
  <c r="X184" i="55"/>
  <c r="X185" i="55"/>
  <c r="X186" i="55"/>
  <c r="X187" i="55"/>
  <c r="X188" i="55"/>
  <c r="X189" i="55"/>
  <c r="X190" i="55"/>
  <c r="X191" i="55"/>
  <c r="X192" i="55"/>
  <c r="X193" i="55"/>
  <c r="X194" i="55"/>
  <c r="X195" i="55"/>
  <c r="X196" i="55"/>
  <c r="X197" i="55"/>
  <c r="X198" i="55"/>
  <c r="X199" i="55"/>
  <c r="X200" i="55"/>
  <c r="X201" i="55"/>
  <c r="X202" i="55"/>
  <c r="X203" i="55"/>
  <c r="X204" i="55"/>
  <c r="X205" i="55"/>
  <c r="X206" i="55"/>
  <c r="X207" i="55"/>
  <c r="X208" i="55"/>
  <c r="X209" i="55"/>
  <c r="X210" i="55"/>
  <c r="F1" i="55" l="1"/>
</calcChain>
</file>

<file path=xl/sharedStrings.xml><?xml version="1.0" encoding="utf-8"?>
<sst xmlns="http://schemas.openxmlformats.org/spreadsheetml/2006/main" count="10522" uniqueCount="3738">
  <si>
    <t>Date Changed</t>
  </si>
  <si>
    <t>Vehicle Owner</t>
  </si>
  <si>
    <t>Veh ID</t>
  </si>
  <si>
    <t>IO Number</t>
  </si>
  <si>
    <t>Changes</t>
  </si>
  <si>
    <t>Who / Reason</t>
  </si>
  <si>
    <t>Changed By</t>
  </si>
  <si>
    <t>Version 1</t>
  </si>
  <si>
    <t>SPEC GROUP</t>
  </si>
  <si>
    <t>BODY STYLE</t>
  </si>
  <si>
    <t>ENGINE</t>
  </si>
  <si>
    <t>DERIVATIVE</t>
  </si>
  <si>
    <t>MODEL CODE</t>
  </si>
  <si>
    <t>TRIM LEVEL</t>
  </si>
  <si>
    <t>DERIVATIVE PACK CODE</t>
  </si>
  <si>
    <t>PAR / COUNTRY CODE</t>
  </si>
  <si>
    <t>MODEL AVAILABILITY</t>
  </si>
  <si>
    <t>Seat Colour</t>
  </si>
  <si>
    <t>IP Colourway</t>
  </si>
  <si>
    <t>Headlining Colour</t>
  </si>
  <si>
    <t>ATO no</t>
  </si>
  <si>
    <t>Divert?</t>
  </si>
  <si>
    <t>Vehicle ID</t>
  </si>
  <si>
    <t>Trim Pack Code</t>
  </si>
  <si>
    <t>Process Steps for Creating and maintaining an SDV</t>
  </si>
  <si>
    <t>https://comm.sp.jlrint.com/sites/ProductInformation/PIBusProcImp/DataMan/Pages/DIY-Data.aspx</t>
  </si>
  <si>
    <t>7. Complete each vehicle once all feature selections have been made - Set Row 1 at top of each vehicle to "Complete"</t>
  </si>
  <si>
    <t>8. Following "Complete" attempt, rectify any outstanding issues that does not allow completing the vehicle  (Message Boxes will prompt any problems to the user)</t>
  </si>
  <si>
    <t>9. Set all vehicles to Complete in readiness for Feature Validation</t>
  </si>
  <si>
    <t>https://comm.sp.jlrint.com/sites/PDPal/adPublished/Forms/AllDocuments.aspx?FilterField1=adID&amp;FilterValue1=LWI-P3O-0046</t>
  </si>
  <si>
    <t>High Level Derivative Information Glossary</t>
  </si>
  <si>
    <t xml:space="preserve">The Market in which this derivative is taken from in the OXO </t>
  </si>
  <si>
    <t>Body Styling of the derivative such as SWB, LWB, 5 Door, Coupe, Convertible</t>
  </si>
  <si>
    <t>Engine Description</t>
  </si>
  <si>
    <t>Derivative Decription</t>
  </si>
  <si>
    <t>Engine Code following the engine decription</t>
  </si>
  <si>
    <t>Trim Level following the derivative description</t>
  </si>
  <si>
    <t>Code for the exact derivative combination of the Engine and Dervative Trim level</t>
  </si>
  <si>
    <t>Code for the specific market</t>
  </si>
  <si>
    <t>Indicator for derivative being available in the market</t>
  </si>
  <si>
    <t>Exterior Body Colour</t>
  </si>
  <si>
    <t>Exterior paint colour description</t>
  </si>
  <si>
    <t>Upper and Lower Enviroment Colour</t>
  </si>
  <si>
    <t>Seat  colour description</t>
  </si>
  <si>
    <t>Headlining colour description</t>
  </si>
  <si>
    <t>Code for the interior colourway combination / Trim Pack chosen - Comprising of Seat Colour, IP Colourway and Headlining Colour</t>
  </si>
  <si>
    <t>Hand Of Drive</t>
  </si>
  <si>
    <t>Hand of drive for derivative market</t>
  </si>
  <si>
    <t>Additional Info #1</t>
  </si>
  <si>
    <t>Additional Info #2</t>
  </si>
  <si>
    <t>Additional Info #3</t>
  </si>
  <si>
    <t>Additional Info #4</t>
  </si>
  <si>
    <t>Customer Name</t>
  </si>
  <si>
    <t>Name of internal customer</t>
  </si>
  <si>
    <t>Customer Dept</t>
  </si>
  <si>
    <t>Department of internal customer</t>
  </si>
  <si>
    <t>Veh Usage/Activity</t>
  </si>
  <si>
    <t>Activity in which the vehicle will be used and built for</t>
  </si>
  <si>
    <t>Veh Req'd By</t>
  </si>
  <si>
    <t>Vehicle required by date</t>
  </si>
  <si>
    <t>Authority To Order Number</t>
  </si>
  <si>
    <t>CI code</t>
  </si>
  <si>
    <t>Customer Identity Number</t>
  </si>
  <si>
    <t>Internal Order Number aka Customer Sales Order Number (CSO)</t>
  </si>
  <si>
    <t>SDV specific number or ID for the vehicle</t>
  </si>
  <si>
    <t>Fleet No.</t>
  </si>
  <si>
    <t>Vehicle number in build</t>
  </si>
  <si>
    <t>No. of Doors</t>
  </si>
  <si>
    <t>Roof Type</t>
  </si>
  <si>
    <t>Upper Enviroment</t>
  </si>
  <si>
    <t>Lower Enviroment</t>
  </si>
  <si>
    <t>Hand of Drive</t>
  </si>
  <si>
    <t>Power Output</t>
  </si>
  <si>
    <t>Gearbox</t>
  </si>
  <si>
    <t>Suspension Type</t>
  </si>
  <si>
    <t>Function</t>
  </si>
  <si>
    <t>Purpose</t>
  </si>
  <si>
    <t>ATO No</t>
  </si>
  <si>
    <t>GPIRS T&amp;F ID</t>
  </si>
  <si>
    <t>Additional Info #5</t>
  </si>
  <si>
    <t xml:space="preserve"> Exterior Colour</t>
  </si>
  <si>
    <t xml:space="preserve"> Roof Colour</t>
  </si>
  <si>
    <t xml:space="preserve">  Powertrain</t>
  </si>
  <si>
    <t xml:space="preserve">  1st User</t>
  </si>
  <si>
    <t xml:space="preserve">    Build No.</t>
  </si>
  <si>
    <t>Type of Roof fitted</t>
  </si>
  <si>
    <t>Colour of Roof (if applciable)</t>
  </si>
  <si>
    <t>Number of Doors on Vehicle</t>
  </si>
  <si>
    <t>IP Upper Enviroment Colour</t>
  </si>
  <si>
    <t>IP Lower Enviroment Colour</t>
  </si>
  <si>
    <t>Interior Seat Colour</t>
  </si>
  <si>
    <t>Powertrain Description</t>
  </si>
  <si>
    <t>Power Output Description</t>
  </si>
  <si>
    <t>Transmission/Gearbox Fitted</t>
  </si>
  <si>
    <t>Suspension Fitted</t>
  </si>
  <si>
    <t>Vehicle identifcation Number</t>
  </si>
  <si>
    <t>Prototype</t>
  </si>
  <si>
    <t>Pre-Production</t>
  </si>
  <si>
    <t>Donor Vehicle Origin</t>
  </si>
  <si>
    <t>Donor Vehicle Model Year</t>
  </si>
  <si>
    <t>Origin of Donor Vehicle for current specification</t>
  </si>
  <si>
    <t>Model Year of Donor Vehicle for current specification</t>
  </si>
  <si>
    <t>1. Create SDV via SDV Menu in Add-ins</t>
  </si>
  <si>
    <t>Please find and refer to the full documentation for using the SDV generation tool for a in-depth instruction guide located at:</t>
  </si>
  <si>
    <t>3. Add Vehicles following the SDV Build Wizard</t>
  </si>
  <si>
    <t>4. Select feature options for each vehicle spec within SDV</t>
  </si>
  <si>
    <t>5. Add high level vehicle information including CI number and ATO number to each vehicle</t>
  </si>
  <si>
    <t>6. Check high level information matches main body selections E.g Veneer colours at top match what is selected in the main body</t>
  </si>
  <si>
    <t xml:space="preserve">2. Add EFG Fetaure data to "EFG" sheet provided by the PI Programme Planner or from the DIY database website for required vehicle line: </t>
  </si>
  <si>
    <t>SDV created/added via OXO Path:</t>
  </si>
  <si>
    <t>Cell Address</t>
  </si>
  <si>
    <t>Previous OXO (SDV Selecton)</t>
  </si>
  <si>
    <t>New OXO (SDV selection)</t>
  </si>
  <si>
    <t>Market Name</t>
  </si>
  <si>
    <t>Name of Market</t>
  </si>
  <si>
    <t>ATO Number</t>
  </si>
  <si>
    <t>Feature Description</t>
  </si>
  <si>
    <t>Vehicle Requires a Divert (Y/N)</t>
  </si>
  <si>
    <t>GPIRS Trim &amp; Final ID</t>
  </si>
  <si>
    <t>Build Number</t>
  </si>
  <si>
    <t>Purpose of vehicle</t>
  </si>
  <si>
    <t>Additonal rows for free information</t>
  </si>
  <si>
    <t>CI Codes</t>
  </si>
  <si>
    <t>NA</t>
  </si>
  <si>
    <t>A1111</t>
  </si>
  <si>
    <t>J0772</t>
  </si>
  <si>
    <t>J0227</t>
  </si>
  <si>
    <t>N6610</t>
  </si>
  <si>
    <t>J0766</t>
  </si>
  <si>
    <t>M0121</t>
  </si>
  <si>
    <t>D6534</t>
  </si>
  <si>
    <t>H0029</t>
  </si>
  <si>
    <t>H0155</t>
  </si>
  <si>
    <t>H0160</t>
  </si>
  <si>
    <t>H0258</t>
  </si>
  <si>
    <t>H0276</t>
  </si>
  <si>
    <t>H0297</t>
  </si>
  <si>
    <t>H0320</t>
  </si>
  <si>
    <t>H0529</t>
  </si>
  <si>
    <t>H0533</t>
  </si>
  <si>
    <t>H0568</t>
  </si>
  <si>
    <t>H0653</t>
  </si>
  <si>
    <t>J0190</t>
  </si>
  <si>
    <t>J0501</t>
  </si>
  <si>
    <t>J0507</t>
  </si>
  <si>
    <t>J0589</t>
  </si>
  <si>
    <t>J0619</t>
  </si>
  <si>
    <t>J0674</t>
  </si>
  <si>
    <t>J3139</t>
  </si>
  <si>
    <t>J3226</t>
  </si>
  <si>
    <t>J3234</t>
  </si>
  <si>
    <t>J3242</t>
  </si>
  <si>
    <t>J3277</t>
  </si>
  <si>
    <t>J4491</t>
  </si>
  <si>
    <t>K0001</t>
  </si>
  <si>
    <t>K0002</t>
  </si>
  <si>
    <t>K2589</t>
  </si>
  <si>
    <t>K2595</t>
  </si>
  <si>
    <t>K8251</t>
  </si>
  <si>
    <t>K8278</t>
  </si>
  <si>
    <t>W9542</t>
  </si>
  <si>
    <t>H0737</t>
  </si>
  <si>
    <t>R9981</t>
  </si>
  <si>
    <t>R9982</t>
  </si>
  <si>
    <t>R9983</t>
  </si>
  <si>
    <t>R0901</t>
  </si>
  <si>
    <t>R0583</t>
  </si>
  <si>
    <t>01695</t>
  </si>
  <si>
    <t>01696</t>
  </si>
  <si>
    <t>01697</t>
  </si>
  <si>
    <t>09762</t>
  </si>
  <si>
    <t>07184</t>
  </si>
  <si>
    <t>Conc</t>
  </si>
  <si>
    <t>Rule Number</t>
  </si>
  <si>
    <t>Qualifier Logic</t>
  </si>
  <si>
    <t>Qualifier1</t>
  </si>
  <si>
    <t>Qualifier2</t>
  </si>
  <si>
    <t>Qualifier3</t>
  </si>
  <si>
    <t>Qualifier4</t>
  </si>
  <si>
    <t>Qualifier5</t>
  </si>
  <si>
    <t>Qualifier6</t>
  </si>
  <si>
    <t>Qualifier7</t>
  </si>
  <si>
    <t>Qualifier8</t>
  </si>
  <si>
    <t>Qualifier9</t>
  </si>
  <si>
    <t>Qualifier10</t>
  </si>
  <si>
    <t>Calling Code</t>
  </si>
  <si>
    <t>Error State</t>
  </si>
  <si>
    <t>Code1</t>
  </si>
  <si>
    <t>Code2</t>
  </si>
  <si>
    <t>Code3</t>
  </si>
  <si>
    <t>Code4</t>
  </si>
  <si>
    <t>Code5</t>
  </si>
  <si>
    <t>Code6</t>
  </si>
  <si>
    <t>Code7</t>
  </si>
  <si>
    <t>Code8</t>
  </si>
  <si>
    <t>Code9</t>
  </si>
  <si>
    <t>Code10</t>
  </si>
  <si>
    <t>Code11</t>
  </si>
  <si>
    <t>Code12</t>
  </si>
  <si>
    <t>Code13</t>
  </si>
  <si>
    <t>Code14</t>
  </si>
  <si>
    <t>Code15</t>
  </si>
  <si>
    <t>Code16</t>
  </si>
  <si>
    <t>Code17</t>
  </si>
  <si>
    <t>Code18</t>
  </si>
  <si>
    <t>Code19</t>
  </si>
  <si>
    <t>Code20</t>
  </si>
  <si>
    <t>Prod Def Modeller Comments</t>
  </si>
  <si>
    <t>Ownership</t>
  </si>
  <si>
    <t>Owner CDSID</t>
  </si>
  <si>
    <t>Corrective Action Description</t>
  </si>
  <si>
    <t>RAG</t>
  </si>
  <si>
    <t>Date Opened</t>
  </si>
  <si>
    <t>Date Closed</t>
  </si>
  <si>
    <t>Build to JLR Code</t>
  </si>
  <si>
    <t>Build to Jag PAR</t>
  </si>
  <si>
    <t>Build to LR PAR</t>
  </si>
  <si>
    <t>800AC</t>
  </si>
  <si>
    <t>V70I</t>
  </si>
  <si>
    <t>ALB</t>
  </si>
  <si>
    <t>800AD</t>
  </si>
  <si>
    <t>V31A</t>
  </si>
  <si>
    <t>ALG</t>
  </si>
  <si>
    <t>800SK</t>
  </si>
  <si>
    <t>V66A</t>
  </si>
  <si>
    <t>SPA</t>
  </si>
  <si>
    <t>800AF</t>
  </si>
  <si>
    <t>V07A</t>
  </si>
  <si>
    <t>ANG</t>
  </si>
  <si>
    <t>800AG</t>
  </si>
  <si>
    <t>V03C</t>
  </si>
  <si>
    <t>ARG</t>
  </si>
  <si>
    <t>800UE</t>
  </si>
  <si>
    <t>V06R</t>
  </si>
  <si>
    <t>RUS</t>
  </si>
  <si>
    <t>800AJ</t>
  </si>
  <si>
    <t>V01D</t>
  </si>
  <si>
    <t>AUS</t>
  </si>
  <si>
    <t>800AK</t>
  </si>
  <si>
    <t>V85A</t>
  </si>
  <si>
    <t>AUT</t>
  </si>
  <si>
    <t>800AZ</t>
  </si>
  <si>
    <t>AZE</t>
  </si>
  <si>
    <t>800BB</t>
  </si>
  <si>
    <t>V09B</t>
  </si>
  <si>
    <t>BAH</t>
  </si>
  <si>
    <t>800BD</t>
  </si>
  <si>
    <t>V95A</t>
  </si>
  <si>
    <t>BEL</t>
  </si>
  <si>
    <t>800CG</t>
  </si>
  <si>
    <t>V26C</t>
  </si>
  <si>
    <t>CHL</t>
  </si>
  <si>
    <t>800BX</t>
  </si>
  <si>
    <t>V90A</t>
  </si>
  <si>
    <t>BIH</t>
  </si>
  <si>
    <t>800SH</t>
  </si>
  <si>
    <t>V80B</t>
  </si>
  <si>
    <t>SAF</t>
  </si>
  <si>
    <t>800BH</t>
  </si>
  <si>
    <t>V62C</t>
  </si>
  <si>
    <t>BRA</t>
  </si>
  <si>
    <t>800BM</t>
  </si>
  <si>
    <t>V71D</t>
  </si>
  <si>
    <t>BRN</t>
  </si>
  <si>
    <t>800BN</t>
  </si>
  <si>
    <t>V60A</t>
  </si>
  <si>
    <t>BUL</t>
  </si>
  <si>
    <t>800VB</t>
  </si>
  <si>
    <t>V31V</t>
  </si>
  <si>
    <t>VTM</t>
  </si>
  <si>
    <t>800CB</t>
  </si>
  <si>
    <t>V11T</t>
  </si>
  <si>
    <t>CDA</t>
  </si>
  <si>
    <t>800CH</t>
  </si>
  <si>
    <t>V06C</t>
  </si>
  <si>
    <t>CHN</t>
  </si>
  <si>
    <t>800UG</t>
  </si>
  <si>
    <t>V70V</t>
  </si>
  <si>
    <t>CH1</t>
  </si>
  <si>
    <t>800UY</t>
  </si>
  <si>
    <t>V70Y</t>
  </si>
  <si>
    <t>CJV</t>
  </si>
  <si>
    <t>800JV</t>
  </si>
  <si>
    <t>V70U</t>
  </si>
  <si>
    <t>JV1</t>
  </si>
  <si>
    <t>800CJ</t>
  </si>
  <si>
    <t>V32M</t>
  </si>
  <si>
    <t>COL</t>
  </si>
  <si>
    <t>800CM</t>
  </si>
  <si>
    <t>V70O</t>
  </si>
  <si>
    <t>COR</t>
  </si>
  <si>
    <t>800NM</t>
  </si>
  <si>
    <t>V82A</t>
  </si>
  <si>
    <t>NIG</t>
  </si>
  <si>
    <t>800CP</t>
  </si>
  <si>
    <t>V06K</t>
  </si>
  <si>
    <t>CRT</t>
  </si>
  <si>
    <t>800CS</t>
  </si>
  <si>
    <t>V07B</t>
  </si>
  <si>
    <t>CYP</t>
  </si>
  <si>
    <t>800DB</t>
  </si>
  <si>
    <t>V21A</t>
  </si>
  <si>
    <t>DEN</t>
  </si>
  <si>
    <t>800DD</t>
  </si>
  <si>
    <t>V14A</t>
  </si>
  <si>
    <t>DRP</t>
  </si>
  <si>
    <t>800EA</t>
  </si>
  <si>
    <t>ECU</t>
  </si>
  <si>
    <t>800EB</t>
  </si>
  <si>
    <t>V27B</t>
  </si>
  <si>
    <t>EGY</t>
  </si>
  <si>
    <t>800FD</t>
  </si>
  <si>
    <t>V25A</t>
  </si>
  <si>
    <t>FIN</t>
  </si>
  <si>
    <t>800FK</t>
  </si>
  <si>
    <t>FKL</t>
  </si>
  <si>
    <t>800FF</t>
  </si>
  <si>
    <t>V91A</t>
  </si>
  <si>
    <t>FRA</t>
  </si>
  <si>
    <t>800GR</t>
  </si>
  <si>
    <t>V06G</t>
  </si>
  <si>
    <t>GEO</t>
  </si>
  <si>
    <t>800GK</t>
  </si>
  <si>
    <t>V34A</t>
  </si>
  <si>
    <t>GER</t>
  </si>
  <si>
    <t>800GC</t>
  </si>
  <si>
    <t>V27A</t>
  </si>
  <si>
    <t>GHN</t>
  </si>
  <si>
    <t>800GD</t>
  </si>
  <si>
    <t>V31G</t>
  </si>
  <si>
    <t>GIB</t>
  </si>
  <si>
    <t>800GF</t>
  </si>
  <si>
    <t>V19A</t>
  </si>
  <si>
    <t>GRE</t>
  </si>
  <si>
    <t>800UD</t>
  </si>
  <si>
    <t>V10P</t>
  </si>
  <si>
    <t>USA</t>
  </si>
  <si>
    <t>800GJ</t>
  </si>
  <si>
    <t>V28A</t>
  </si>
  <si>
    <t>GAT</t>
  </si>
  <si>
    <t>800HF</t>
  </si>
  <si>
    <t>V25D</t>
  </si>
  <si>
    <t>HNK</t>
  </si>
  <si>
    <t>800HG</t>
  </si>
  <si>
    <t>V64H</t>
  </si>
  <si>
    <t>HUN</t>
  </si>
  <si>
    <t>800IA</t>
  </si>
  <si>
    <t>V24A</t>
  </si>
  <si>
    <t>ICE</t>
  </si>
  <si>
    <t>800IC</t>
  </si>
  <si>
    <t>V06P</t>
  </si>
  <si>
    <t>IND</t>
  </si>
  <si>
    <t>800ID</t>
  </si>
  <si>
    <t>V05C</t>
  </si>
  <si>
    <t>INA</t>
  </si>
  <si>
    <t>800TQ</t>
  </si>
  <si>
    <t>V70D</t>
  </si>
  <si>
    <t>IRN</t>
  </si>
  <si>
    <t>800IF</t>
  </si>
  <si>
    <t>V30A</t>
  </si>
  <si>
    <t>IRQ</t>
  </si>
  <si>
    <t>800IG</t>
  </si>
  <si>
    <t>V00T</t>
  </si>
  <si>
    <t>IRE</t>
  </si>
  <si>
    <t>800IH</t>
  </si>
  <si>
    <t>V21B</t>
  </si>
  <si>
    <t>IRL</t>
  </si>
  <si>
    <t>800IJ</t>
  </si>
  <si>
    <t>V08T</t>
  </si>
  <si>
    <t>ITA</t>
  </si>
  <si>
    <t>800JA</t>
  </si>
  <si>
    <t>-</t>
  </si>
  <si>
    <t>FJI</t>
  </si>
  <si>
    <t>800JB</t>
  </si>
  <si>
    <t>V35R</t>
  </si>
  <si>
    <t>JAP</t>
  </si>
  <si>
    <t>800UZ</t>
  </si>
  <si>
    <t>V35L</t>
  </si>
  <si>
    <t>JP1</t>
  </si>
  <si>
    <t>800JC</t>
  </si>
  <si>
    <t>V07J</t>
  </si>
  <si>
    <t>JOR</t>
  </si>
  <si>
    <t>800KA</t>
  </si>
  <si>
    <t>V26A</t>
  </si>
  <si>
    <t>KEN</t>
  </si>
  <si>
    <t>800KB</t>
  </si>
  <si>
    <t>V59K</t>
  </si>
  <si>
    <t>KOR</t>
  </si>
  <si>
    <t>800KC</t>
  </si>
  <si>
    <t>V11B</t>
  </si>
  <si>
    <t>KUW</t>
  </si>
  <si>
    <t>800LT</t>
  </si>
  <si>
    <t>V67L</t>
  </si>
  <si>
    <t>LAO</t>
  </si>
  <si>
    <t>800LB</t>
  </si>
  <si>
    <t>V48B</t>
  </si>
  <si>
    <t>LEB</t>
  </si>
  <si>
    <t>800SU</t>
  </si>
  <si>
    <t>V75A</t>
  </si>
  <si>
    <t>SWI</t>
  </si>
  <si>
    <t>800MY</t>
  </si>
  <si>
    <t>V31M</t>
  </si>
  <si>
    <t>MAC</t>
  </si>
  <si>
    <t>800MB</t>
  </si>
  <si>
    <t>V31D</t>
  </si>
  <si>
    <t>MAL</t>
  </si>
  <si>
    <t>800MC</t>
  </si>
  <si>
    <t>V56A</t>
  </si>
  <si>
    <t>MTA</t>
  </si>
  <si>
    <t>800MF</t>
  </si>
  <si>
    <t>V09A</t>
  </si>
  <si>
    <t>MAU</t>
  </si>
  <si>
    <t>800MH</t>
  </si>
  <si>
    <t>V29C</t>
  </si>
  <si>
    <t>MEX</t>
  </si>
  <si>
    <t>800MV</t>
  </si>
  <si>
    <t>V06W</t>
  </si>
  <si>
    <t>MOL</t>
  </si>
  <si>
    <t>800MZ</t>
  </si>
  <si>
    <t>V71J</t>
  </si>
  <si>
    <t>MNG</t>
  </si>
  <si>
    <t>800MJ</t>
  </si>
  <si>
    <t>V47A</t>
  </si>
  <si>
    <t>MOR</t>
  </si>
  <si>
    <t>800NB</t>
  </si>
  <si>
    <t>V81A</t>
  </si>
  <si>
    <t>NET</t>
  </si>
  <si>
    <t>800NG</t>
  </si>
  <si>
    <t>V71F</t>
  </si>
  <si>
    <t>NCA</t>
  </si>
  <si>
    <t>800NK</t>
  </si>
  <si>
    <t>V02D</t>
  </si>
  <si>
    <t>NZL</t>
  </si>
  <si>
    <t>800NQ</t>
  </si>
  <si>
    <t>V12T</t>
  </si>
  <si>
    <t>NOR</t>
  </si>
  <si>
    <t>800MS</t>
  </si>
  <si>
    <t>V52B</t>
  </si>
  <si>
    <t>OMN</t>
  </si>
  <si>
    <t>800PA</t>
  </si>
  <si>
    <t>V05P</t>
  </si>
  <si>
    <t>PAK</t>
  </si>
  <si>
    <t>800PB</t>
  </si>
  <si>
    <t>V61C</t>
  </si>
  <si>
    <t>PAN</t>
  </si>
  <si>
    <t>800PD</t>
  </si>
  <si>
    <t>V46C</t>
  </si>
  <si>
    <t>PAU</t>
  </si>
  <si>
    <t>800PE</t>
  </si>
  <si>
    <t>V33A</t>
  </si>
  <si>
    <t>PER</t>
  </si>
  <si>
    <t>800PF</t>
  </si>
  <si>
    <t>V67D</t>
  </si>
  <si>
    <t>PHL</t>
  </si>
  <si>
    <t>800PG</t>
  </si>
  <si>
    <t>V54P</t>
  </si>
  <si>
    <t>POL</t>
  </si>
  <si>
    <t>800PH</t>
  </si>
  <si>
    <t>V64A</t>
  </si>
  <si>
    <t>POR</t>
  </si>
  <si>
    <t>800QA</t>
  </si>
  <si>
    <t>V41B</t>
  </si>
  <si>
    <t>QAT</t>
  </si>
  <si>
    <t>800RR</t>
  </si>
  <si>
    <t>V60R</t>
  </si>
  <si>
    <t>ROM</t>
  </si>
  <si>
    <t>800SC</t>
  </si>
  <si>
    <t>V83B</t>
  </si>
  <si>
    <t>SAA</t>
  </si>
  <si>
    <t>800ER</t>
  </si>
  <si>
    <t>V31S</t>
  </si>
  <si>
    <t>SER</t>
  </si>
  <si>
    <t>800MT</t>
  </si>
  <si>
    <t>V54D</t>
  </si>
  <si>
    <t>SIN</t>
  </si>
  <si>
    <t>800SW</t>
  </si>
  <si>
    <t>V64S</t>
  </si>
  <si>
    <t>SLO</t>
  </si>
  <si>
    <t>800SF</t>
  </si>
  <si>
    <t>V85S</t>
  </si>
  <si>
    <t>SLV</t>
  </si>
  <si>
    <t>800CF</t>
  </si>
  <si>
    <t>V54S</t>
  </si>
  <si>
    <t>SLK</t>
  </si>
  <si>
    <t>800ST</t>
  </si>
  <si>
    <t>V71A</t>
  </si>
  <si>
    <t>SWE</t>
  </si>
  <si>
    <t>800TB</t>
  </si>
  <si>
    <t>V13D</t>
  </si>
  <si>
    <t>TWN</t>
  </si>
  <si>
    <t>800TC</t>
  </si>
  <si>
    <t>V36A</t>
  </si>
  <si>
    <t>TAN</t>
  </si>
  <si>
    <t>800TD</t>
  </si>
  <si>
    <t>V03D</t>
  </si>
  <si>
    <t>THL</t>
  </si>
  <si>
    <t>800TF</t>
  </si>
  <si>
    <t>V22A</t>
  </si>
  <si>
    <t>TUN</t>
  </si>
  <si>
    <t>800TG</t>
  </si>
  <si>
    <t>V19B</t>
  </si>
  <si>
    <t>TUR</t>
  </si>
  <si>
    <t>800UK</t>
  </si>
  <si>
    <t>V06U</t>
  </si>
  <si>
    <t>UKR</t>
  </si>
  <si>
    <t>800UH</t>
  </si>
  <si>
    <t>V71I</t>
  </si>
  <si>
    <t>UAE</t>
  </si>
  <si>
    <t>800UB</t>
  </si>
  <si>
    <t>V00A</t>
  </si>
  <si>
    <t>GBR</t>
  </si>
  <si>
    <t>800UC</t>
  </si>
  <si>
    <t>V18A</t>
  </si>
  <si>
    <t>URG</t>
  </si>
  <si>
    <t>800YA</t>
  </si>
  <si>
    <t>V31Y</t>
  </si>
  <si>
    <t>YEM</t>
  </si>
  <si>
    <t>800ZB</t>
  </si>
  <si>
    <t>V05Z</t>
  </si>
  <si>
    <t>ZAM</t>
  </si>
  <si>
    <t>800SX</t>
  </si>
  <si>
    <t>V04A</t>
  </si>
  <si>
    <t>ZIM</t>
  </si>
  <si>
    <t>HOD</t>
  </si>
  <si>
    <t>For FTO</t>
  </si>
  <si>
    <t>LHD</t>
  </si>
  <si>
    <t>RHD</t>
  </si>
  <si>
    <t>See Deviation Matrix</t>
  </si>
  <si>
    <t>D:\01-Major Work\01-D7a 21MY_TQC\04_Cost\02_Parts\02_SDV\OXO\04 TT\X260LWB XFL 21MY TT v1.1 Published_PACN12700625_With TT Mix.xlsx</t>
  </si>
  <si>
    <t>FEATURE GROUP</t>
  </si>
  <si>
    <t>FEATURE CODE</t>
  </si>
  <si>
    <t>MARKETING FEATURE DESCRIPTION
(Standard Features for all derivatives are shown in the "Standard Fitment" sheet)</t>
  </si>
  <si>
    <t>SYSTEM DESCRIPTION
(Maximum 40 Characters)</t>
  </si>
  <si>
    <t>RULES</t>
  </si>
  <si>
    <t>COMMENTS</t>
  </si>
  <si>
    <t>POWERTRAIN - DRIVING DYNAMICS</t>
  </si>
  <si>
    <t>184AB</t>
  </si>
  <si>
    <t>Configurable Dynamics</t>
  </si>
  <si>
    <t/>
  </si>
  <si>
    <t>Includes settings for the following:
- Throttle response
- Steering response
- Gear shifts
- Suspension (if taken with Adaptive Dynamics (027CW))
Includes 'Dynamic-i' information displays when selected with Navigation Pro System (087AU)</t>
  </si>
  <si>
    <t>088IG</t>
  </si>
  <si>
    <t>JaguarDrive Control with Adaptive Surface Response</t>
  </si>
  <si>
    <t>JDC Dyn, Normal Eco, AdSR</t>
  </si>
  <si>
    <t>Only available with automatic transmissions and AWD.
Must call (027CW) Adaptive Dynamics and (184AB) Configurable Dynamics.</t>
  </si>
  <si>
    <t>027CW</t>
  </si>
  <si>
    <t>Adaptive Dynamics</t>
  </si>
  <si>
    <t>Rule 1. Must call (184AB) Configurable Dynamics. 
Rule 2.  Must call (088IG) AdSR on AWD derivatives.</t>
  </si>
  <si>
    <t>POWERTRAIN - BRAKES</t>
  </si>
  <si>
    <t>020DV</t>
  </si>
  <si>
    <t>355mm front and 325mm rear brakes</t>
  </si>
  <si>
    <t>Disc Brake Size Frt 18/RR 17</t>
  </si>
  <si>
    <t>Standard on 2.0l i4P 300PS engines globally</t>
  </si>
  <si>
    <t>EXTERIOR TRIM - ROOFS</t>
  </si>
  <si>
    <t>080AN</t>
  </si>
  <si>
    <t>Black contrast roof</t>
  </si>
  <si>
    <t>Black Painted Roof</t>
  </si>
  <si>
    <t>Not available with 1AG: Santorini Black</t>
  </si>
  <si>
    <t>Black contrast roof colour is 1AG: Santorini Black</t>
  </si>
  <si>
    <t>041CZ</t>
  </si>
  <si>
    <t>Sliding panoramic roof</t>
  </si>
  <si>
    <t>Roof - Sliding Panoramic</t>
  </si>
  <si>
    <t>panoramic, spoiler style, electric blinds, opening</t>
  </si>
  <si>
    <t>EXTERIOR TRIM - BODY STYLING</t>
  </si>
  <si>
    <t>032MB</t>
  </si>
  <si>
    <t>Black Exterior Pack</t>
  </si>
  <si>
    <t>Gloss black grille mesh with gloss black surround, gloss black lower vent hoops (Core only), gloss black side vents, gloss black window surrounds, gloss black side sill finisher, gloss black boot lid/ tailgate finisher, gloss black rear valence finisher, gloss black badging, gloss black Chinese script badges</t>
  </si>
  <si>
    <t>EXTERIOR TRIM - BADGING</t>
  </si>
  <si>
    <t>185AM</t>
  </si>
  <si>
    <t>P300 AWD badge</t>
  </si>
  <si>
    <t>P300 AWD Badge</t>
  </si>
  <si>
    <t>185CR</t>
  </si>
  <si>
    <t>AWD Badge</t>
  </si>
  <si>
    <t>EXTERIOR FEATURES - GLASS AND MIRRORS</t>
  </si>
  <si>
    <t>047DB</t>
  </si>
  <si>
    <t>Privacy glass</t>
  </si>
  <si>
    <t>Privacy Glass</t>
  </si>
  <si>
    <t>Rear side and rear screen</t>
  </si>
  <si>
    <t>047BJ</t>
  </si>
  <si>
    <t>Acoustic front and toughened rear side glass</t>
  </si>
  <si>
    <t>Frt Solar Attn Acst/Rr Toughened Glass</t>
  </si>
  <si>
    <t>030PD</t>
  </si>
  <si>
    <t>Power fold, heated door mirrors with approach lights</t>
  </si>
  <si>
    <t>Htd/P-Fold/App.Light Mirror</t>
  </si>
  <si>
    <t>N/A with any memory seats - 301PY: 12-way heated electric driver memory front seats with 2-way manual headrests, 301UE: 16-way heated and ventilated, massage electric memory front seats with 2-way manual headrests.</t>
  </si>
  <si>
    <t>Powerfolding exterior mirrors in body colour, electrically adjustable, heated, electrochromic (auto-dimming) driver side only, approach lamps including red carpet lighting, with clear side turn indicators</t>
  </si>
  <si>
    <t>030RK</t>
  </si>
  <si>
    <t>Heated, electric, power fold, memory door mirrors with approach lights and auto-dimming driver side</t>
  </si>
  <si>
    <t>Htd/P-Fold/Mm/A-Dm Drv only/App.Lght Mir</t>
  </si>
  <si>
    <t>Must call either of the following memory seats - 301PY: 12-way heated electric driver memory front seats with 2-way manual headrests or  301UE: 16-way heated and cooled, massage electric memory front seats with 2-way manual headrests.</t>
  </si>
  <si>
    <t>EXTERIOR FEATURES - LIGHTS</t>
  </si>
  <si>
    <t>064QB</t>
  </si>
  <si>
    <t>Premium LED headlights with signature DRL</t>
  </si>
  <si>
    <t>Premium LED Headlights w/Signature DRL</t>
  </si>
  <si>
    <t>064QH</t>
  </si>
  <si>
    <t>Pixel LED headlights with signature DRL</t>
  </si>
  <si>
    <t>Pixel LED + Signature + ADB h/Lamps</t>
  </si>
  <si>
    <t>Rule 1. Must call (065FB) Front Animated Directional Indicators. 
Rule 2. Must call (030NT) Auto High Beam Assist (AHBA).</t>
  </si>
  <si>
    <t>030NT</t>
  </si>
  <si>
    <t>Auto High Beam Assist (AHBA)</t>
  </si>
  <si>
    <t>Auto High Beam Assist</t>
  </si>
  <si>
    <t>Must call 065FB: Front Animated Directional Indicators.</t>
  </si>
  <si>
    <t>065FB</t>
  </si>
  <si>
    <t>Front Animated Directional Indicators</t>
  </si>
  <si>
    <t>Directional Indicators-Front Sweeping</t>
  </si>
  <si>
    <t>Must call 030NT: Auto High Beam Assist (AHBA).</t>
  </si>
  <si>
    <t>EXTERIOR FEATURES - TAILGATE / BOOT</t>
  </si>
  <si>
    <t>070AV</t>
  </si>
  <si>
    <t>Powered tailgate / boot lid</t>
  </si>
  <si>
    <t>Tailgate/Bootlid-Powered</t>
  </si>
  <si>
    <t>PAINTS - SOLID</t>
  </si>
  <si>
    <t>1AA</t>
  </si>
  <si>
    <t>Fuji White</t>
  </si>
  <si>
    <t>1AA White</t>
  </si>
  <si>
    <t>PAINTS - METALLIC</t>
  </si>
  <si>
    <t>1AG</t>
  </si>
  <si>
    <t>Santorini Black</t>
  </si>
  <si>
    <t>1AG Black</t>
  </si>
  <si>
    <t>1AS</t>
  </si>
  <si>
    <t>Bluefire Blue</t>
  </si>
  <si>
    <t>Bluefire</t>
  </si>
  <si>
    <t>1AX</t>
  </si>
  <si>
    <t>Rossello Red</t>
  </si>
  <si>
    <t>1AX Red</t>
  </si>
  <si>
    <t>1DG</t>
  </si>
  <si>
    <t>Portofino Blue</t>
  </si>
  <si>
    <t>1DG Blue</t>
  </si>
  <si>
    <t>1DQ</t>
  </si>
  <si>
    <t>British Racing Green</t>
  </si>
  <si>
    <t>BRG 7</t>
  </si>
  <si>
    <t>1DU</t>
  </si>
  <si>
    <t>Hakuba Silver</t>
  </si>
  <si>
    <t>PAINTS - PREMIUM METALLIC</t>
  </si>
  <si>
    <t>1BN</t>
  </si>
  <si>
    <t>Silicon Silver</t>
  </si>
  <si>
    <t>1BN Silver</t>
  </si>
  <si>
    <t>WHEELS AND TYRES - WHEELS</t>
  </si>
  <si>
    <t>029WJ</t>
  </si>
  <si>
    <t>18" Style 5033, 5 split-spoke, Gloss Dark Grey with contrast Diamond Turned finish</t>
  </si>
  <si>
    <t>18" Helix 10 Spoke Contrast DT</t>
  </si>
  <si>
    <t>031VB</t>
  </si>
  <si>
    <t>18" Style 5105, 5 spoke, Dark Grey with contrast Diamond Turned finish</t>
  </si>
  <si>
    <t>18" 5 Spoke Style 5105 Dark Grey DT</t>
  </si>
  <si>
    <t>Gyro</t>
  </si>
  <si>
    <t>029WL</t>
  </si>
  <si>
    <t>18" Style 7011, 7 split-spoke, Gloss Sparkle Silver</t>
  </si>
  <si>
    <t>18" Chalice Twin 7 Spoke Silver</t>
  </si>
  <si>
    <t>18" Chalice 7 twin-spoke with Silver finish</t>
  </si>
  <si>
    <t>031VC</t>
  </si>
  <si>
    <t>19" Style 5106, 5 split-spoke, Gloss Silver</t>
  </si>
  <si>
    <t>19" 5 Split Spoke Style 5106 Silver</t>
  </si>
  <si>
    <t>Elegance</t>
  </si>
  <si>
    <t>029WS</t>
  </si>
  <si>
    <t>19" Style 7013, 7 split-spoke, Gloss Black with contrast Diamond Turned finish</t>
  </si>
  <si>
    <t>19" Axis 14 spoke Contrast DT</t>
  </si>
  <si>
    <t>WHEELS AND TYRES - SPARE WHEELS</t>
  </si>
  <si>
    <t>029VT</t>
  </si>
  <si>
    <t>Reduced section alloy spare wheel</t>
  </si>
  <si>
    <t>Spare Whl-Reduced Sectn Alloy</t>
  </si>
  <si>
    <t>SEATING - STYLES</t>
  </si>
  <si>
    <t>033WN</t>
  </si>
  <si>
    <t>8-way electric front seats with 2-way manual headrest</t>
  </si>
  <si>
    <t>10-Way Front Seat Pack</t>
  </si>
  <si>
    <t>301PW</t>
  </si>
  <si>
    <t>12-way heated electric front seats with 2-way manual headrests</t>
  </si>
  <si>
    <t>14-Way Htd &amp; PSA Front Seat Pack</t>
  </si>
  <si>
    <t>301PY</t>
  </si>
  <si>
    <t>12-way heated electric driver memory front seats with 2-way manual headrests</t>
  </si>
  <si>
    <t>14-Way D Mem Htd &amp; PSA Front Seat Pack</t>
  </si>
  <si>
    <t>Must call 030RK: Auto-dimming, power fold, heated door mirrors with memory and approach lights (Auto-dimming driver side).</t>
  </si>
  <si>
    <t>301UE</t>
  </si>
  <si>
    <t>16-way heated and cooled, massage electric memory front seats with 2-way manual headrests</t>
  </si>
  <si>
    <t>18-Way D&amp;P Mem Htd&amp;Cld Mass &amp; PSA Frt St</t>
  </si>
  <si>
    <t>300KK</t>
  </si>
  <si>
    <t>Fixed rear seat with centre armrest</t>
  </si>
  <si>
    <t>Fixed Bench w/Armrest Rear Seat Pack</t>
  </si>
  <si>
    <t>303FC</t>
  </si>
  <si>
    <t>Fixed heated and cooled rear seat with centre armrest, massage and lumbar adjust</t>
  </si>
  <si>
    <t>Fixed Bench w/Armrest &amp; Htd/Cld&amp;Msg&amp;Lmbr</t>
  </si>
  <si>
    <t>Must call (022BC) Four-zone Climate Control.</t>
  </si>
  <si>
    <t>INTERIOR TRIM - CARPET MATS</t>
  </si>
  <si>
    <t>079AJ</t>
  </si>
  <si>
    <t>Carpet mats</t>
  </si>
  <si>
    <t>Floor Mats - Carpet</t>
  </si>
  <si>
    <t>Fabric finish around the edges</t>
  </si>
  <si>
    <t>079BO</t>
  </si>
  <si>
    <t>Premium carpet mats</t>
  </si>
  <si>
    <t>Floor Mats - Premium</t>
  </si>
  <si>
    <t>Leatherette finish around the edges</t>
  </si>
  <si>
    <t>INTERIOR TRIM - VENEERS AND FINISHERS</t>
  </si>
  <si>
    <t>088KM</t>
  </si>
  <si>
    <t>Satin Charcoal Ash veneer</t>
  </si>
  <si>
    <t>Veneer - Satin Charcoal Ash</t>
  </si>
  <si>
    <t>088TL</t>
  </si>
  <si>
    <t>Natural Burr Ash veneer</t>
  </si>
  <si>
    <t>Veneer-Natural Umber (Open)</t>
  </si>
  <si>
    <t>088TN</t>
  </si>
  <si>
    <t>Engine Spin Aluminium trim finisher</t>
  </si>
  <si>
    <t>Finisher-Engine Spin Aluminium Trim</t>
  </si>
  <si>
    <t>Standard 'R-Dynamic' finisher</t>
  </si>
  <si>
    <t>088TP</t>
  </si>
  <si>
    <t>Engineered Wood veneer</t>
  </si>
  <si>
    <t>Veneer-Engineered Wood</t>
  </si>
  <si>
    <t>Standard 'Core' trim finisher</t>
  </si>
  <si>
    <t>INTERIOR TRIM - STEERING WHEELS</t>
  </si>
  <si>
    <t>049AP</t>
  </si>
  <si>
    <t>Electrically adjustable steering column</t>
  </si>
  <si>
    <t>Power Adj Stg Col -NON Pyro Tecnics</t>
  </si>
  <si>
    <t>032DV</t>
  </si>
  <si>
    <t>Heated steering wheel</t>
  </si>
  <si>
    <t>Heated Steering Wheel</t>
  </si>
  <si>
    <t>032LG</t>
  </si>
  <si>
    <t>R-Dynamic branded leather steering wheel</t>
  </si>
  <si>
    <t>Stng Whl-Soft Gr Lth R-Dynamic</t>
  </si>
  <si>
    <t>032LX</t>
  </si>
  <si>
    <t>Split rim steering wheel</t>
  </si>
  <si>
    <t>Steering Wheel - Split Rim</t>
  </si>
  <si>
    <t>INTERIOR TRIM - TREADPLATES</t>
  </si>
  <si>
    <t>048BM</t>
  </si>
  <si>
    <t>Metal treadplates with Jaguar script</t>
  </si>
  <si>
    <t>Side Door Treadplate-Metal</t>
  </si>
  <si>
    <t>048BD</t>
  </si>
  <si>
    <t>Illuminated metal treadplates with brand-name script</t>
  </si>
  <si>
    <t>Side Door Treadplate-Illuminated</t>
  </si>
  <si>
    <t>048CD</t>
  </si>
  <si>
    <t>Metal treadplates with R-Dynamic branding</t>
  </si>
  <si>
    <t>Side Dr Trdplt - R Dynamic</t>
  </si>
  <si>
    <t>INTERIOR TRIM - TRIM STYLES</t>
  </si>
  <si>
    <t>301WX</t>
  </si>
  <si>
    <t>Ebony perforated grained leather seats with Ebony/Ebony interior</t>
  </si>
  <si>
    <t>Ebny Trs Lthr Cmfrt Ebny/Ebny Int</t>
  </si>
  <si>
    <t>301WZ</t>
  </si>
  <si>
    <t>Caraway perforated grained leather seats with Ebony/Caraway interior</t>
  </si>
  <si>
    <t>Caraway Trs Lthr Cmfrt Crwy/Crwy Int</t>
  </si>
  <si>
    <t>301YN</t>
  </si>
  <si>
    <t>Ebony perforated Windsor leather sport seats with Ebony/Ebony interior</t>
  </si>
  <si>
    <t>Ebny Wdsr Lthr Mngrm Prf Sprt Ebny/Ebny</t>
  </si>
  <si>
    <t>301YQ</t>
  </si>
  <si>
    <t>Mars Red perforated Windsor leather sports seats with Mars Red/Ebony interior</t>
  </si>
  <si>
    <t>Ms Rd Wdsr Ltr Mngrm Prf Sprt Ms Rd/Eby</t>
  </si>
  <si>
    <t>301YR</t>
  </si>
  <si>
    <t>Siena Tan perforated Windsor leather sports seats with Tan/Ebony interior</t>
  </si>
  <si>
    <t>Sn Tn Wdsr Ltr Mngrm Prf Sprt Tn/Eby</t>
  </si>
  <si>
    <t>303TJ</t>
  </si>
  <si>
    <t>Ebony Luxtec seats with Ebony/Ebony interior</t>
  </si>
  <si>
    <t>Ebony Luxtec Cmft w/o Lpr Ebny/Ebny Int</t>
  </si>
  <si>
    <t>303TK</t>
  </si>
  <si>
    <t>Caraway Luxtec seats with Caraway/Caraway interior</t>
  </si>
  <si>
    <t>Craway Luxtec Cmft w/o Lpr Crwy/Crwy Int</t>
  </si>
  <si>
    <t>303UA</t>
  </si>
  <si>
    <t>*Ebony Luxtec Ebony/Ebony</t>
  </si>
  <si>
    <t>Ebony Luxtec Ebony/Ebony</t>
  </si>
  <si>
    <t>303UB</t>
  </si>
  <si>
    <t>*Mars Red Luxtec Mars Red/Ebony</t>
  </si>
  <si>
    <t>Mars Red Luxtec Mars Red/Ebony</t>
  </si>
  <si>
    <t>303UC</t>
  </si>
  <si>
    <t>*Siena Tan Luxtec Siena Tan/Ebony</t>
  </si>
  <si>
    <t>Siena Tan Luxtec Siena Tan/Ebony</t>
  </si>
  <si>
    <t>INTERIOR TRIM - HEADLINING</t>
  </si>
  <si>
    <t>188HD</t>
  </si>
  <si>
    <t>Ebony Morzine headlining</t>
  </si>
  <si>
    <t>Headlining/Morzine/Ebony</t>
  </si>
  <si>
    <t>188HA</t>
  </si>
  <si>
    <t>Light Oyster Morzine headlining</t>
  </si>
  <si>
    <t>Headlining / Morzine / Light Oyster</t>
  </si>
  <si>
    <t>INTERIOR FEATURES - ADDITIONAL FEATURES</t>
  </si>
  <si>
    <t>051AJ</t>
  </si>
  <si>
    <t>Bright metal pedals</t>
  </si>
  <si>
    <t>Foot Pedal - Metal Finish</t>
  </si>
  <si>
    <t>031CG</t>
  </si>
  <si>
    <t>Auto-dimming interior rear view mirror</t>
  </si>
  <si>
    <t>Auto Dimming Rear View Mirror</t>
  </si>
  <si>
    <t>031BS</t>
  </si>
  <si>
    <t>ClearSight interior rear view mirror</t>
  </si>
  <si>
    <t>Smart Rear View Mirror</t>
  </si>
  <si>
    <t>INTERIOR FEATURES - LIGHTING</t>
  </si>
  <si>
    <t>064LB</t>
  </si>
  <si>
    <t>Cabin lighting</t>
  </si>
  <si>
    <t>Cabin Lighting</t>
  </si>
  <si>
    <t>10 colour configurable ambient lighting, zone control, dynamic start-up sequence</t>
  </si>
  <si>
    <t>INTERIOR FEATURES - STORAGE</t>
  </si>
  <si>
    <t>030DH</t>
  </si>
  <si>
    <t>Lockable cooled glovebox</t>
  </si>
  <si>
    <t>Glove Box - Cooled</t>
  </si>
  <si>
    <t>INTERIOR FEATURES - CLIMATE CONTROL</t>
  </si>
  <si>
    <t>022AY</t>
  </si>
  <si>
    <t>Two-zone Climate Control</t>
  </si>
  <si>
    <t>Climate Control - 2-Zone</t>
  </si>
  <si>
    <t>022BC</t>
  </si>
  <si>
    <t>Four-zone Climate Control</t>
  </si>
  <si>
    <t>4 Zone Air Con</t>
  </si>
  <si>
    <t>Rule 1: Must call (030DH) Lockable Cooled Glovebox.
Rule 2: Must call (022FA) Air Quality Sensor.</t>
  </si>
  <si>
    <t>022FA</t>
  </si>
  <si>
    <t>Air Quality Sensor</t>
  </si>
  <si>
    <t>Air Quality Sensing.</t>
  </si>
  <si>
    <t>Must Call (030DH) Lockable Cooled Glovebox</t>
  </si>
  <si>
    <t>022GE</t>
  </si>
  <si>
    <t>Cabin Air Ionisation with PM2.5 filter</t>
  </si>
  <si>
    <t>Cabin Air Ionisation / PM2.5</t>
  </si>
  <si>
    <t>Must Call (022FA) Air Quality Sensor</t>
  </si>
  <si>
    <t>INFOTAINMENT - AUDIO SYSTEMS</t>
  </si>
  <si>
    <t>025KN</t>
  </si>
  <si>
    <t>Sound System</t>
  </si>
  <si>
    <t>180W, 8 speakers</t>
  </si>
  <si>
    <t>025LM</t>
  </si>
  <si>
    <t>Meridian™ Sound System</t>
  </si>
  <si>
    <t>Meridian Sound System</t>
  </si>
  <si>
    <t>400W, 13 speakers (incl. Sub)</t>
  </si>
  <si>
    <t>025LN</t>
  </si>
  <si>
    <t>Meridian™ Surround Sound System</t>
  </si>
  <si>
    <t>Meridian Surround Sound System</t>
  </si>
  <si>
    <t>650W, 17 speakers (incl. Sub)</t>
  </si>
  <si>
    <t>INFOTAINMENT - INCONTROL SYSTEMS</t>
  </si>
  <si>
    <t>183AB</t>
  </si>
  <si>
    <t>Apple CarPlay® (subject to availability)</t>
  </si>
  <si>
    <t>Apple Carplay (subject to availability)</t>
  </si>
  <si>
    <t>Enables certain functions on your iPhone to be displayed and operated from the vehicle infotainment system</t>
  </si>
  <si>
    <t>011BJ</t>
  </si>
  <si>
    <t>Remote</t>
  </si>
  <si>
    <t>025SH</t>
  </si>
  <si>
    <t>Wi-Fi Enabled with Data Plan</t>
  </si>
  <si>
    <t>Must call (026LD) Pivi Pro Connected.</t>
  </si>
  <si>
    <t>183HB</t>
  </si>
  <si>
    <t>Baidu CarLife</t>
  </si>
  <si>
    <t>BAIDU CARLIFE</t>
  </si>
  <si>
    <t>025RM</t>
  </si>
  <si>
    <t>Online Pack with Data Plan</t>
  </si>
  <si>
    <t>026LB</t>
  </si>
  <si>
    <t>Pivi</t>
  </si>
  <si>
    <t>026LD</t>
  </si>
  <si>
    <t>Pivi Pro (Connected)</t>
  </si>
  <si>
    <t>Must call 086DC: Traffic Sign Recognition and Adaptive Speed Limiter</t>
  </si>
  <si>
    <t>INFOTAINMENT - MULTIMEDIA</t>
  </si>
  <si>
    <t>054AK</t>
  </si>
  <si>
    <t>Additional power sockets</t>
  </si>
  <si>
    <t>Auxiliary Power Socket x2</t>
  </si>
  <si>
    <t>Two additional USB sockets in the rear of centre console and one 12V socket in trunk.</t>
  </si>
  <si>
    <t>021MB</t>
  </si>
  <si>
    <t>Wireless device charging - second row</t>
  </si>
  <si>
    <t>2nd Row Wireless Charger</t>
  </si>
  <si>
    <t>026JC</t>
  </si>
  <si>
    <t>Wireless device charging with phone signal booster</t>
  </si>
  <si>
    <t>Wireless Charger with Booster</t>
  </si>
  <si>
    <t>INFOTAINMENT - DISPLAYS</t>
  </si>
  <si>
    <t>039IB</t>
  </si>
  <si>
    <t>Head-up Display</t>
  </si>
  <si>
    <t>Head-Up Display</t>
  </si>
  <si>
    <t>038IC</t>
  </si>
  <si>
    <t>Analogue Dials with Central TFT Display</t>
  </si>
  <si>
    <t>TFT Instrument Cluster</t>
  </si>
  <si>
    <t>038ID</t>
  </si>
  <si>
    <t>Interactive Driver Display</t>
  </si>
  <si>
    <t>TFT Virtual Instrument Cluster</t>
  </si>
  <si>
    <t>SAFETY AND SECURITY - MISCELLANEOUS</t>
  </si>
  <si>
    <t>066AC</t>
  </si>
  <si>
    <t>Keyless Entry</t>
  </si>
  <si>
    <t>Passive Entry/Push Button Start</t>
  </si>
  <si>
    <t>173AB</t>
  </si>
  <si>
    <t>Soft door close</t>
  </si>
  <si>
    <t>Soft Door Close</t>
  </si>
  <si>
    <t>Must call 066AC: Keyless Entry</t>
  </si>
  <si>
    <t>062AD</t>
  </si>
  <si>
    <t>Tyre Pressure Monitoring System (TPMS)</t>
  </si>
  <si>
    <t>Tyre Pressure Monitoring System</t>
  </si>
  <si>
    <t>Includes inflation assistant</t>
  </si>
  <si>
    <t>SAFETY AND SECURITY - ADVANCED DRIVER ASSISTANCE SYSTEMS</t>
  </si>
  <si>
    <t>065EE</t>
  </si>
  <si>
    <t>Emergency Braking</t>
  </si>
  <si>
    <t>AEB-CtyU+Ped+Cyc+Jnc+TxP</t>
  </si>
  <si>
    <t>086GM</t>
  </si>
  <si>
    <t>Blind Spot Assist</t>
  </si>
  <si>
    <t>086FA</t>
  </si>
  <si>
    <t>Rear Camera</t>
  </si>
  <si>
    <t>Rear View Camera</t>
  </si>
  <si>
    <t>086GP</t>
  </si>
  <si>
    <t>3D Surround Camera</t>
  </si>
  <si>
    <t>Includes 360 Park Distance Control.</t>
  </si>
  <si>
    <t>074PZ</t>
  </si>
  <si>
    <t>Clear Exit Monitor</t>
  </si>
  <si>
    <t>Clear Exit Detection</t>
  </si>
  <si>
    <t>all passengers</t>
  </si>
  <si>
    <t>065AB</t>
  </si>
  <si>
    <t>Cruise Control and Speed Limiter</t>
  </si>
  <si>
    <t>Cruise Control</t>
  </si>
  <si>
    <t>065AN</t>
  </si>
  <si>
    <t>Adaptive Cruise Control with Steering Assist</t>
  </si>
  <si>
    <t>Adaptive Cruise Control with Stg Assist</t>
  </si>
  <si>
    <t>086DH</t>
  </si>
  <si>
    <t>Driver Condition Monitor</t>
  </si>
  <si>
    <t>Driver Drowsiness Monitoring</t>
  </si>
  <si>
    <t>086BH</t>
  </si>
  <si>
    <t>Lane Keep Assist</t>
  </si>
  <si>
    <t>LKA + Upcoming Traffic</t>
  </si>
  <si>
    <t>includes Oncoming Vehicle Detection and edge detection</t>
  </si>
  <si>
    <t>086MC</t>
  </si>
  <si>
    <t>Park Assist</t>
  </si>
  <si>
    <t>Park Assist(Full Auto)</t>
  </si>
  <si>
    <t>Includes fully automated parking and remote parking</t>
  </si>
  <si>
    <t>189AE</t>
  </si>
  <si>
    <t>Front and Rear Parking Aid</t>
  </si>
  <si>
    <t>Front and Rear Parking Aid + Autobrake</t>
  </si>
  <si>
    <t>086NB</t>
  </si>
  <si>
    <t>Rear Collision Monitor</t>
  </si>
  <si>
    <t>Rear Protection Assist</t>
  </si>
  <si>
    <t>086KD</t>
  </si>
  <si>
    <t>Rear Traffic Monitor</t>
  </si>
  <si>
    <t>Reverse Traffic Detection Autobrake</t>
  </si>
  <si>
    <t>with Parking Emergency Braking (Autobrake)</t>
  </si>
  <si>
    <t>086DC</t>
  </si>
  <si>
    <t>Traffic Sign Recognition and Adaptive Speed Limiter</t>
  </si>
  <si>
    <t>TSR/ Adaptive Speed Limiter</t>
  </si>
  <si>
    <t>Must call 026LD: Pivi Pro (Connected)</t>
  </si>
  <si>
    <t>OPTION PACKS</t>
  </si>
  <si>
    <t>DRIVER ASSIST PACK</t>
  </si>
  <si>
    <t>017TE</t>
  </si>
  <si>
    <t>Driver Assist Pack</t>
  </si>
  <si>
    <t>PARK ASSIST PACK</t>
  </si>
  <si>
    <t>017UD</t>
  </si>
  <si>
    <t>Park Assist Pack</t>
  </si>
  <si>
    <t>BUSINESS PACK</t>
  </si>
  <si>
    <t>017LA</t>
  </si>
  <si>
    <t>Business Pack</t>
  </si>
  <si>
    <t>CONVENIENCE PACK</t>
  </si>
  <si>
    <t>017CE</t>
  </si>
  <si>
    <t>Convenience Pack</t>
  </si>
  <si>
    <t>PREMIUM UPGRADE INTERIOR PACK</t>
  </si>
  <si>
    <t>017HE</t>
  </si>
  <si>
    <t>Premium Upgrade Interior Pack</t>
  </si>
  <si>
    <t>TECHNOLOGY PACK</t>
  </si>
  <si>
    <t>074KY</t>
  </si>
  <si>
    <t>Technology Pack</t>
  </si>
  <si>
    <t>World At A Glance</t>
  </si>
  <si>
    <t>Key:  S = Standard Feature, M = Region/Market Standard, O = Optional Feature,  P = Feature part of Option Pack, NA = Not Available, (O) = Linked Option</t>
  </si>
  <si>
    <t>19/12/2019 16:22:25</t>
  </si>
  <si>
    <t>RWHITE4</t>
  </si>
  <si>
    <t>PAR CODE</t>
  </si>
  <si>
    <t>All additonal information from here is for REFERENCE ONLY, Additional Information # rows can be openly used for reference to vehicle info</t>
  </si>
  <si>
    <t>Programme Phase: PreProduction</t>
  </si>
  <si>
    <t>Common Order Number</t>
  </si>
  <si>
    <t>Added via OXO - Date</t>
  </si>
  <si>
    <t>SECTION BELOW FOR PI USE ONLY</t>
  </si>
  <si>
    <t>MODEL</t>
  </si>
  <si>
    <t>MODEL YEAR</t>
  </si>
  <si>
    <t>ORDERING PERIOD</t>
  </si>
  <si>
    <t>VISTA PRODUCT</t>
  </si>
  <si>
    <t>PRE-BUILD CODE</t>
  </si>
  <si>
    <t>CUSTOMER ID</t>
  </si>
  <si>
    <t>BRAND</t>
  </si>
  <si>
    <t>DISTRIBUTOR (CI CODE)</t>
  </si>
  <si>
    <t>PARTNER (CI CODE)</t>
  </si>
  <si>
    <t>PACN Number:</t>
  </si>
  <si>
    <t>Security Classification:</t>
  </si>
  <si>
    <t>Version:</t>
  </si>
  <si>
    <t>Effective date:</t>
  </si>
  <si>
    <t>Owner(s):</t>
  </si>
  <si>
    <t>Document Type:</t>
  </si>
  <si>
    <t>S = Standard</t>
  </si>
  <si>
    <t>S-N = Standard feature replaced by option</t>
  </si>
  <si>
    <t>NA = Not Available</t>
  </si>
  <si>
    <t>O = Option</t>
  </si>
  <si>
    <t>O-Y = Option selected yes</t>
    <phoneticPr fontId="12" type="noConversion"/>
  </si>
  <si>
    <t>O-N = Option not selected</t>
  </si>
  <si>
    <t>(O) = Linked Option</t>
  </si>
  <si>
    <t>(O)-Y = Linked Option selected yes</t>
  </si>
  <si>
    <t>(O)-N = Linked Option not selected</t>
  </si>
  <si>
    <t>NCO = No Cost Option</t>
  </si>
  <si>
    <t>NCO-Y = No Cost Option selected yes</t>
  </si>
  <si>
    <t>NCO-N = No Cost Option not selected</t>
  </si>
  <si>
    <t>P# = Available as part of Pack P#</t>
  </si>
  <si>
    <t>P#-Y = Pack Feature selected yes</t>
  </si>
  <si>
    <t>P# = Pack Feature not selected</t>
  </si>
  <si>
    <t>SDV Created from OXO - X260LWB (XFL) 21MY TT V1.1 PUBLISHED</t>
    <phoneticPr fontId="12" type="noConversion"/>
  </si>
  <si>
    <t>GREEN HEADER SECTION FOR PI USE ONLY - RPA</t>
  </si>
  <si>
    <t>Colour Key</t>
  </si>
  <si>
    <t>Standard Features</t>
  </si>
  <si>
    <t>Option Selected</t>
  </si>
  <si>
    <t>Remaining unselected options - After Complete attempt</t>
  </si>
  <si>
    <t>Invalid Availibility</t>
  </si>
  <si>
    <t>Conflicting features in same family selected - After Complete attempt</t>
  </si>
  <si>
    <t>Standard deselected with no other family feature superseding it - After Complete attempt</t>
  </si>
  <si>
    <t>Efg Common Code</t>
  </si>
  <si>
    <t>Efg Description</t>
  </si>
  <si>
    <t>Efg Type Name</t>
  </si>
  <si>
    <t>Active Ind</t>
  </si>
  <si>
    <t>WERS Code</t>
  </si>
  <si>
    <t>OA Code</t>
  </si>
  <si>
    <t>Feature Land Rover Code</t>
  </si>
  <si>
    <t>Product Range Code</t>
  </si>
  <si>
    <t>Product Range Description</t>
  </si>
  <si>
    <t>Run Date</t>
  </si>
  <si>
    <t>AACE</t>
  </si>
  <si>
    <t>Trim Level Indicator</t>
  </si>
  <si>
    <t>Y</t>
  </si>
  <si>
    <t>AAAE3</t>
  </si>
  <si>
    <t>Trim level LE7</t>
  </si>
  <si>
    <t>A90W</t>
  </si>
  <si>
    <t>021HD</t>
  </si>
  <si>
    <t>6A</t>
  </si>
  <si>
    <t>X260 CJV XF</t>
  </si>
  <si>
    <t>18-12-2019</t>
  </si>
  <si>
    <t>AAAEL</t>
  </si>
  <si>
    <t>Trim level 1</t>
  </si>
  <si>
    <t>A90A</t>
  </si>
  <si>
    <t>021ZE</t>
  </si>
  <si>
    <t>AAAEM</t>
  </si>
  <si>
    <t>Trim level 2</t>
  </si>
  <si>
    <t>A90B</t>
  </si>
  <si>
    <t>021ZF</t>
  </si>
  <si>
    <t>AAAEN</t>
  </si>
  <si>
    <t>Trim level 3</t>
  </si>
  <si>
    <t>A90C</t>
  </si>
  <si>
    <t>021ZG</t>
  </si>
  <si>
    <t>AAAEQ</t>
  </si>
  <si>
    <t>Trim level 5</t>
  </si>
  <si>
    <t>A90E</t>
  </si>
  <si>
    <t>021ZJ</t>
  </si>
  <si>
    <t>AAAEW</t>
  </si>
  <si>
    <t>Trim level 0</t>
  </si>
  <si>
    <t>A90T</t>
  </si>
  <si>
    <t>021HA</t>
  </si>
  <si>
    <t>AAAJA</t>
  </si>
  <si>
    <t>Trim level 3.5</t>
  </si>
  <si>
    <t>A93P</t>
  </si>
  <si>
    <t>021HS</t>
  </si>
  <si>
    <t>AADA</t>
  </si>
  <si>
    <t>Body Types</t>
  </si>
  <si>
    <t>BODY</t>
  </si>
  <si>
    <t>CA#AS</t>
  </si>
  <si>
    <t>4 Door</t>
  </si>
  <si>
    <t>A71A</t>
  </si>
  <si>
    <t>099AG</t>
  </si>
  <si>
    <t>AAEF</t>
  </si>
  <si>
    <t>Vehicle Line Platform</t>
  </si>
  <si>
    <t>BNAAC</t>
  </si>
  <si>
    <t>D7a</t>
  </si>
  <si>
    <t>10CC</t>
  </si>
  <si>
    <t>370AC</t>
  </si>
  <si>
    <t>AAGA</t>
  </si>
  <si>
    <t>Power Unit Series</t>
  </si>
  <si>
    <t>ENGN</t>
  </si>
  <si>
    <t>EN-U8</t>
  </si>
  <si>
    <t>2L AJ20 P4M</t>
  </si>
  <si>
    <t>A20X</t>
  </si>
  <si>
    <t>200BE</t>
  </si>
  <si>
    <t>EN-U9</t>
  </si>
  <si>
    <t>2L AJ20 P4H</t>
  </si>
  <si>
    <t>A20L</t>
  </si>
  <si>
    <t>200BF</t>
  </si>
  <si>
    <t>AAGC</t>
  </si>
  <si>
    <t>Paddle Shift</t>
  </si>
  <si>
    <t>CAWAK</t>
  </si>
  <si>
    <t>Paddle Shift - Satin Chrome</t>
  </si>
  <si>
    <t>B66H</t>
  </si>
  <si>
    <t>078CC</t>
  </si>
  <si>
    <t>AAGD</t>
  </si>
  <si>
    <t>Active Transmission Warming</t>
  </si>
  <si>
    <t>FKDAB</t>
  </si>
  <si>
    <t>A40Q</t>
  </si>
  <si>
    <t>078DA</t>
  </si>
  <si>
    <t>AAGJ</t>
  </si>
  <si>
    <t>Thermal Encapsulation Covers</t>
  </si>
  <si>
    <t>FKEAB</t>
  </si>
  <si>
    <t>A22B</t>
  </si>
  <si>
    <t>179AB</t>
  </si>
  <si>
    <t>AAHA</t>
  </si>
  <si>
    <t>Transmission</t>
  </si>
  <si>
    <t>TRAN</t>
  </si>
  <si>
    <t>TR-EN</t>
  </si>
  <si>
    <t>Auto Trans 8 Speed ZF 8HP45 RWD</t>
  </si>
  <si>
    <t>A40H</t>
  </si>
  <si>
    <t>078CA</t>
  </si>
  <si>
    <t>TR-EQ</t>
  </si>
  <si>
    <t>Auto Transmission 8HP45</t>
  </si>
  <si>
    <t>A40J</t>
  </si>
  <si>
    <t>078BZ</t>
  </si>
  <si>
    <t>AAIA</t>
  </si>
  <si>
    <t>STRG</t>
  </si>
  <si>
    <t>DR--F</t>
  </si>
  <si>
    <t>A50D</t>
  </si>
  <si>
    <t>252SF</t>
  </si>
  <si>
    <t>AAJB</t>
  </si>
  <si>
    <t>Model Year Parts</t>
  </si>
  <si>
    <t>ZY20A</t>
  </si>
  <si>
    <t>2020 Model Year Parts</t>
  </si>
  <si>
    <t>Y20A</t>
  </si>
  <si>
    <t>145CE</t>
  </si>
  <si>
    <t>AAKN</t>
  </si>
  <si>
    <t>Model Year Indicator</t>
  </si>
  <si>
    <t>MSCH</t>
  </si>
  <si>
    <t>A4WAR</t>
  </si>
  <si>
    <t>2021 Model Year</t>
  </si>
  <si>
    <t>JSDC</t>
  </si>
  <si>
    <t>001CF</t>
  </si>
  <si>
    <t>AALB</t>
  </si>
  <si>
    <t>Exterior Paint</t>
  </si>
  <si>
    <t>PCOL</t>
  </si>
  <si>
    <t>PBKAB</t>
  </si>
  <si>
    <t>PBKAC</t>
  </si>
  <si>
    <t>PBKAU</t>
  </si>
  <si>
    <t>PBKBH</t>
  </si>
  <si>
    <t>PBKBT</t>
  </si>
  <si>
    <t>PBKCP</t>
  </si>
  <si>
    <t>PBKDB</t>
  </si>
  <si>
    <t>AAMD</t>
  </si>
  <si>
    <t>Lower Environment Colour</t>
  </si>
  <si>
    <t>BA7B1</t>
  </si>
  <si>
    <t>Int Env Col - Caraway</t>
  </si>
  <si>
    <t>DRIQ</t>
  </si>
  <si>
    <t>081NR</t>
  </si>
  <si>
    <t>BA7BW</t>
  </si>
  <si>
    <t>Int Env Col - Ebony</t>
  </si>
  <si>
    <t>DRIL</t>
  </si>
  <si>
    <t>081NM</t>
  </si>
  <si>
    <t>AAMI</t>
  </si>
  <si>
    <t>Headrest Badge</t>
  </si>
  <si>
    <t>BA3AA</t>
  </si>
  <si>
    <t>LESS Headrest Badge</t>
  </si>
  <si>
    <t>F49B</t>
  </si>
  <si>
    <t>010AA</t>
  </si>
  <si>
    <t>BA3AC</t>
  </si>
  <si>
    <t>Headrest Badge-Leaper Embossing</t>
  </si>
  <si>
    <t>F49H</t>
  </si>
  <si>
    <t>010AJ</t>
  </si>
  <si>
    <t>AAMJ</t>
  </si>
  <si>
    <t>Door Stitch</t>
  </si>
  <si>
    <t>BXMA2</t>
  </si>
  <si>
    <t>Door Stitch - Vintage Tan</t>
  </si>
  <si>
    <t>SDQT</t>
  </si>
  <si>
    <t>089EY</t>
  </si>
  <si>
    <t>BXMA4</t>
  </si>
  <si>
    <t>Door Stitch - Caraway</t>
  </si>
  <si>
    <t>SDQY</t>
  </si>
  <si>
    <t>089GD</t>
  </si>
  <si>
    <t>BXMAA</t>
  </si>
  <si>
    <t>LESS Door Stitch</t>
  </si>
  <si>
    <t>SDNC</t>
  </si>
  <si>
    <t>089EA</t>
  </si>
  <si>
    <t>BXMAB</t>
  </si>
  <si>
    <t>Door Stitch - Red</t>
  </si>
  <si>
    <t>SDHX</t>
  </si>
  <si>
    <t>089EH</t>
  </si>
  <si>
    <t>BXMAK</t>
  </si>
  <si>
    <t>Door Stitch - Ebony</t>
  </si>
  <si>
    <t>SDDB</t>
  </si>
  <si>
    <t>089ED</t>
  </si>
  <si>
    <t>BXMAR</t>
  </si>
  <si>
    <t>Door Stitch - Light Oyster</t>
  </si>
  <si>
    <t>SDMT</t>
  </si>
  <si>
    <t>089EE</t>
  </si>
  <si>
    <t>BXMBC</t>
  </si>
  <si>
    <t>Door Stitch - Flame Red</t>
  </si>
  <si>
    <t>SDQX</t>
  </si>
  <si>
    <t>089GC</t>
  </si>
  <si>
    <t>AAMN</t>
  </si>
  <si>
    <t>Headlining (Umbrella)</t>
  </si>
  <si>
    <t>Z24AA</t>
  </si>
  <si>
    <t>24AA</t>
  </si>
  <si>
    <t>Z24AD</t>
  </si>
  <si>
    <t>24AD</t>
  </si>
  <si>
    <t>AANF</t>
  </si>
  <si>
    <t>Stitching Colours - Contrast</t>
  </si>
  <si>
    <t>BW5A1</t>
  </si>
  <si>
    <t>Ebony Contrast Stitching</t>
  </si>
  <si>
    <t>SSFC</t>
  </si>
  <si>
    <t>033IL</t>
  </si>
  <si>
    <t>BW5A8</t>
  </si>
  <si>
    <t>Espresso Contrast Stitching</t>
  </si>
  <si>
    <t>SPJS</t>
  </si>
  <si>
    <t>033PA</t>
  </si>
  <si>
    <t>BW5AB</t>
  </si>
  <si>
    <t>Flame Red Sitiching</t>
  </si>
  <si>
    <t>SSFD</t>
  </si>
  <si>
    <t>034HP</t>
  </si>
  <si>
    <t>BW5AC</t>
  </si>
  <si>
    <t>Tan Contrast Stitch</t>
  </si>
  <si>
    <t>SPJR</t>
  </si>
  <si>
    <t>033PK</t>
  </si>
  <si>
    <t>BW5AY</t>
  </si>
  <si>
    <t>Red Stitching</t>
  </si>
  <si>
    <t>SCHX</t>
  </si>
  <si>
    <t>033PS</t>
  </si>
  <si>
    <t>BW5BB</t>
  </si>
  <si>
    <t>Brogue Contrast Stitching</t>
  </si>
  <si>
    <t>SAPL</t>
  </si>
  <si>
    <t>033PG</t>
  </si>
  <si>
    <t>BW5BM</t>
  </si>
  <si>
    <t>Light Oyster Stitching</t>
  </si>
  <si>
    <t>SANT</t>
  </si>
  <si>
    <t>033PQ</t>
  </si>
  <si>
    <t>BW5BP</t>
  </si>
  <si>
    <t>Latte Stitching</t>
  </si>
  <si>
    <t>SANR</t>
  </si>
  <si>
    <t>033PR</t>
  </si>
  <si>
    <t>BW5BT</t>
  </si>
  <si>
    <t>Yellow Stitching</t>
  </si>
  <si>
    <t>SANX</t>
  </si>
  <si>
    <t>034HM</t>
  </si>
  <si>
    <t>BW5BU</t>
  </si>
  <si>
    <t>Vintage Tan Stitching</t>
  </si>
  <si>
    <t>SSFB</t>
  </si>
  <si>
    <t>034HN</t>
  </si>
  <si>
    <t>BW5EM</t>
  </si>
  <si>
    <t>Caraway Contrast Stitching</t>
  </si>
  <si>
    <t>SSFH</t>
  </si>
  <si>
    <t>034KC</t>
  </si>
  <si>
    <t>AANG</t>
  </si>
  <si>
    <t>Seat Colour Combination</t>
  </si>
  <si>
    <t>000E6</t>
  </si>
  <si>
    <t>Ebony / Ebony</t>
  </si>
  <si>
    <t>RJX</t>
  </si>
  <si>
    <t>034DU</t>
  </si>
  <si>
    <t>000N1</t>
  </si>
  <si>
    <t>Tan/Tan</t>
  </si>
  <si>
    <t>PJR</t>
  </si>
  <si>
    <t>034EC</t>
  </si>
  <si>
    <t>000QE</t>
  </si>
  <si>
    <t>Ebony/Pimento Red</t>
  </si>
  <si>
    <t>RKG</t>
  </si>
  <si>
    <t>034ES</t>
  </si>
  <si>
    <t>000QZ</t>
  </si>
  <si>
    <t>Brogue</t>
  </si>
  <si>
    <t>APL</t>
  </si>
  <si>
    <t>034FH</t>
  </si>
  <si>
    <t>000SA</t>
  </si>
  <si>
    <t>Espresso</t>
  </si>
  <si>
    <t>RJE</t>
  </si>
  <si>
    <t>034FF</t>
  </si>
  <si>
    <t>000T7</t>
  </si>
  <si>
    <t>Caraway</t>
  </si>
  <si>
    <t>RLX</t>
  </si>
  <si>
    <t>035CB</t>
  </si>
  <si>
    <t>000TB</t>
  </si>
  <si>
    <t>Ebony/ Light Oyster</t>
  </si>
  <si>
    <t>RJB</t>
  </si>
  <si>
    <t>034GA</t>
  </si>
  <si>
    <t>000TC</t>
  </si>
  <si>
    <t>Light Oyster / Ebony</t>
  </si>
  <si>
    <t>RJC</t>
  </si>
  <si>
    <t>034GB</t>
  </si>
  <si>
    <t>000TD</t>
  </si>
  <si>
    <t>Pimento Red/Ebony</t>
  </si>
  <si>
    <t>RJD</t>
  </si>
  <si>
    <t>034GC</t>
  </si>
  <si>
    <t>000TP</t>
  </si>
  <si>
    <t>Siena Tan</t>
  </si>
  <si>
    <t>RJN</t>
  </si>
  <si>
    <t>034HS</t>
  </si>
  <si>
    <t>000TQ</t>
  </si>
  <si>
    <t>Mars Red</t>
  </si>
  <si>
    <t>RJP</t>
  </si>
  <si>
    <t>034HT</t>
  </si>
  <si>
    <t>000XE</t>
  </si>
  <si>
    <t>Latte</t>
  </si>
  <si>
    <t>RNR</t>
  </si>
  <si>
    <t>034FS</t>
  </si>
  <si>
    <t>000YK</t>
  </si>
  <si>
    <t>Light Oyster</t>
  </si>
  <si>
    <t>AMT</t>
  </si>
  <si>
    <t>034GE</t>
  </si>
  <si>
    <t>AANJ</t>
  </si>
  <si>
    <t>Seatbelts</t>
  </si>
  <si>
    <t>CPPA9</t>
  </si>
  <si>
    <t>Seatbelt - Espresso</t>
  </si>
  <si>
    <t>RJEL</t>
  </si>
  <si>
    <t>032YZ</t>
  </si>
  <si>
    <t>CPPAX</t>
  </si>
  <si>
    <t>Seatbelt - Oyster</t>
  </si>
  <si>
    <t>RAMT</t>
  </si>
  <si>
    <t>032HB</t>
  </si>
  <si>
    <t>CPPAY</t>
  </si>
  <si>
    <t>Seatbelt - Ebony</t>
  </si>
  <si>
    <t>RPDB</t>
  </si>
  <si>
    <t>032HH</t>
  </si>
  <si>
    <t>BAQB</t>
  </si>
  <si>
    <t>Version Type</t>
  </si>
  <si>
    <t>AACFM</t>
  </si>
  <si>
    <t>Version - Core</t>
  </si>
  <si>
    <t>G14H</t>
  </si>
  <si>
    <t>041GH</t>
  </si>
  <si>
    <t>AACVR</t>
  </si>
  <si>
    <t>Version - R-Dynamic</t>
  </si>
  <si>
    <t>G14L</t>
  </si>
  <si>
    <t>041GL</t>
  </si>
  <si>
    <t>BAUB</t>
  </si>
  <si>
    <t>Engine Order Cancellation</t>
  </si>
  <si>
    <t>IDKAA</t>
  </si>
  <si>
    <t>LESS Engine Order Cancellation</t>
  </si>
  <si>
    <t>05CZ</t>
  </si>
  <si>
    <t>153FA</t>
  </si>
  <si>
    <t>BAUD</t>
  </si>
  <si>
    <t>Active Road Noise Cancellation</t>
  </si>
  <si>
    <t>IDMAA</t>
  </si>
  <si>
    <t>LESS Active Road Noise Cancellation</t>
  </si>
  <si>
    <t>08BZ</t>
  </si>
  <si>
    <t>153HA</t>
  </si>
  <si>
    <t>IDMAB</t>
  </si>
  <si>
    <t>ARNC GEN 1</t>
  </si>
  <si>
    <t>08BB</t>
  </si>
  <si>
    <t>153HB</t>
  </si>
  <si>
    <t>IDMAE</t>
  </si>
  <si>
    <t>ARNC GEN 3 (4 Headrests)</t>
  </si>
  <si>
    <t>08BE</t>
  </si>
  <si>
    <t>153HE</t>
  </si>
  <si>
    <t>BAVA</t>
  </si>
  <si>
    <t>Engine Cooling</t>
  </si>
  <si>
    <t>DAAAB</t>
  </si>
  <si>
    <t>Standard Engine Cooling</t>
  </si>
  <si>
    <t>S54A</t>
  </si>
  <si>
    <t>153BB</t>
  </si>
  <si>
    <t>BAXA</t>
  </si>
  <si>
    <t>Auxiliary Coolant Pumps</t>
  </si>
  <si>
    <t>DA6AB</t>
  </si>
  <si>
    <t>Electric Auxiliary Coolant Pumps</t>
  </si>
  <si>
    <t>S53A</t>
  </si>
  <si>
    <t>153DA</t>
  </si>
  <si>
    <t>BAZC</t>
  </si>
  <si>
    <t>Rear Window Blind</t>
  </si>
  <si>
    <t>BDAAA</t>
  </si>
  <si>
    <t>LESS Rear Window Blind</t>
  </si>
  <si>
    <t>H76C</t>
  </si>
  <si>
    <t>019CZ</t>
  </si>
  <si>
    <t>BBIA</t>
  </si>
  <si>
    <t>Wheel Spare/IMS</t>
  </si>
  <si>
    <t>D17A5</t>
  </si>
  <si>
    <t>C40D</t>
  </si>
  <si>
    <t>BBNA</t>
  </si>
  <si>
    <t>Emission Fuel Tanks</t>
  </si>
  <si>
    <t>DG2AA</t>
  </si>
  <si>
    <t>LESS Emission Tank</t>
  </si>
  <si>
    <t>C74Z</t>
  </si>
  <si>
    <t>046AC</t>
  </si>
  <si>
    <t>BBOA</t>
  </si>
  <si>
    <t>Fuel Filler Neck</t>
  </si>
  <si>
    <t>GBZAH</t>
  </si>
  <si>
    <t>Filler Neck Pet ORVR Twin Seal</t>
  </si>
  <si>
    <t>C70D</t>
  </si>
  <si>
    <t>053BC</t>
  </si>
  <si>
    <t>BBVB</t>
  </si>
  <si>
    <t>Rear Spoilers</t>
  </si>
  <si>
    <t>BPFAA</t>
  </si>
  <si>
    <t>LESS Rear Spoiler</t>
  </si>
  <si>
    <t>B09Z</t>
  </si>
  <si>
    <t>070AQ</t>
  </si>
  <si>
    <t>BMCD</t>
  </si>
  <si>
    <t>X260 CJV Brochure Model Codes</t>
  </si>
  <si>
    <t>BMOD</t>
  </si>
  <si>
    <t>ZK35E</t>
  </si>
  <si>
    <t>X260 2.0P AJ20-P4H AWD 4DR LWB CJV</t>
  </si>
  <si>
    <t>K35E</t>
  </si>
  <si>
    <t>YB260</t>
  </si>
  <si>
    <t>ZK35F</t>
  </si>
  <si>
    <t>X260 2.0P AJ20-P4M RWD 4DR LWB CJV</t>
  </si>
  <si>
    <t>K35F</t>
  </si>
  <si>
    <t>YC260</t>
  </si>
  <si>
    <t>ZK35G</t>
  </si>
  <si>
    <t>X260 2.0P AJ20-P4M AWD 4DR LWB CJV</t>
  </si>
  <si>
    <t>K35G</t>
  </si>
  <si>
    <t>YD260</t>
  </si>
  <si>
    <t>BRAA</t>
  </si>
  <si>
    <t>Brand</t>
  </si>
  <si>
    <t>BRND</t>
  </si>
  <si>
    <t>Z100J</t>
  </si>
  <si>
    <t>Jaguar</t>
  </si>
  <si>
    <t>C19J</t>
  </si>
  <si>
    <t>100JG</t>
  </si>
  <si>
    <t>CABA</t>
  </si>
  <si>
    <t>Locking Fuel Filler Flap</t>
  </si>
  <si>
    <t>CBMAB</t>
  </si>
  <si>
    <t>Fuel Filler Flap - Central Locking</t>
  </si>
  <si>
    <t>C78B</t>
  </si>
  <si>
    <t>053BI</t>
  </si>
  <si>
    <t>CADA</t>
  </si>
  <si>
    <t>DWAAW</t>
  </si>
  <si>
    <t>Comfort Suspension</t>
  </si>
  <si>
    <t>C31Q</t>
  </si>
  <si>
    <t>027DF</t>
  </si>
  <si>
    <t>CADC</t>
  </si>
  <si>
    <t>Suspension - Front Spring Load</t>
  </si>
  <si>
    <t>DYSAA</t>
  </si>
  <si>
    <t>LESS Front Spring Load</t>
  </si>
  <si>
    <t>C80Z</t>
  </si>
  <si>
    <t>027ZZ</t>
  </si>
  <si>
    <t>DYSAB</t>
  </si>
  <si>
    <t>Front spring load -Class A</t>
  </si>
  <si>
    <t>C80A</t>
  </si>
  <si>
    <t>027FA</t>
  </si>
  <si>
    <t>DYSAC</t>
  </si>
  <si>
    <t>Front spring load -Class B</t>
  </si>
  <si>
    <t>C80B</t>
  </si>
  <si>
    <t>027FB</t>
  </si>
  <si>
    <t>DYSAD</t>
  </si>
  <si>
    <t>Front spring load -Class C</t>
  </si>
  <si>
    <t>C80C</t>
  </si>
  <si>
    <t>027FC</t>
  </si>
  <si>
    <t>DYSAE</t>
  </si>
  <si>
    <t>Front spring load -Class D</t>
  </si>
  <si>
    <t>C80D</t>
  </si>
  <si>
    <t>027FD</t>
  </si>
  <si>
    <t>DYSAF</t>
  </si>
  <si>
    <t>Front spring load -Class E</t>
  </si>
  <si>
    <t>C80E</t>
  </si>
  <si>
    <t>027FE</t>
  </si>
  <si>
    <t>DYSAG</t>
  </si>
  <si>
    <t>Front spring load -Class F</t>
  </si>
  <si>
    <t>C80F</t>
  </si>
  <si>
    <t>027FF</t>
  </si>
  <si>
    <t>DYSAH</t>
  </si>
  <si>
    <t>Front spring load -Class G</t>
  </si>
  <si>
    <t>C80G</t>
  </si>
  <si>
    <t>027FG</t>
  </si>
  <si>
    <t>DYSAJ</t>
  </si>
  <si>
    <t>Front spring load -Class H</t>
  </si>
  <si>
    <t>C80H</t>
  </si>
  <si>
    <t>027FH</t>
  </si>
  <si>
    <t>CADD</t>
  </si>
  <si>
    <t>Suspension - Rear Spring Load</t>
  </si>
  <si>
    <t>DYTAA</t>
  </si>
  <si>
    <t>LESS Rear Spring Load</t>
  </si>
  <si>
    <t>C83Z</t>
  </si>
  <si>
    <t>027ZY</t>
  </si>
  <si>
    <t>DYTAB</t>
  </si>
  <si>
    <t>Rear Spring Load - Class A</t>
  </si>
  <si>
    <t>C83A</t>
  </si>
  <si>
    <t>027GA</t>
  </si>
  <si>
    <t>DYTAC</t>
  </si>
  <si>
    <t>Rear Spring Load - Class B</t>
  </si>
  <si>
    <t>C83B</t>
  </si>
  <si>
    <t>027GB</t>
  </si>
  <si>
    <t>DYTAD</t>
  </si>
  <si>
    <t>Rear Spring Load - Class C</t>
  </si>
  <si>
    <t>C83C</t>
  </si>
  <si>
    <t>027GC</t>
  </si>
  <si>
    <t>DYTAE</t>
  </si>
  <si>
    <t>Rear Spring Load - Class D</t>
  </si>
  <si>
    <t>C83D</t>
  </si>
  <si>
    <t>027GD</t>
  </si>
  <si>
    <t>DYTAF</t>
  </si>
  <si>
    <t>Rear Spring Load - Class E</t>
  </si>
  <si>
    <t>C83E</t>
  </si>
  <si>
    <t>027GE</t>
  </si>
  <si>
    <t>DYTAG</t>
  </si>
  <si>
    <t>Rear Spring Load - Class F</t>
  </si>
  <si>
    <t>C83F</t>
  </si>
  <si>
    <t>027GF</t>
  </si>
  <si>
    <t>DYTAH</t>
  </si>
  <si>
    <t>Rear Spring Load - Class G</t>
  </si>
  <si>
    <t>C83G</t>
  </si>
  <si>
    <t>027GG</t>
  </si>
  <si>
    <t>DYTAJ</t>
  </si>
  <si>
    <t>Rear Spring Load - Class H</t>
  </si>
  <si>
    <t>C83H</t>
  </si>
  <si>
    <t>027GH</t>
  </si>
  <si>
    <t>DYTAL</t>
  </si>
  <si>
    <t>Rear Spring Load - Class J</t>
  </si>
  <si>
    <t>C83J</t>
  </si>
  <si>
    <t>027GJ</t>
  </si>
  <si>
    <t>DYTAM</t>
  </si>
  <si>
    <t>Rear Spring Load - Class K</t>
  </si>
  <si>
    <t>C83K</t>
  </si>
  <si>
    <t>027GK</t>
  </si>
  <si>
    <t>DYTAN</t>
  </si>
  <si>
    <t>Rear Spring Load - Class L</t>
  </si>
  <si>
    <t>C83L</t>
  </si>
  <si>
    <t>027GL</t>
  </si>
  <si>
    <t>DYTAP</t>
  </si>
  <si>
    <t>Rear Spring Load - Class M</t>
  </si>
  <si>
    <t>C83M</t>
  </si>
  <si>
    <t>027GM</t>
  </si>
  <si>
    <t>DYTAQ</t>
  </si>
  <si>
    <t>Rear Spring Load - Class N</t>
  </si>
  <si>
    <t>C83N</t>
  </si>
  <si>
    <t>027GN</t>
  </si>
  <si>
    <t>DYTAR</t>
  </si>
  <si>
    <t>Rear Spring Load - Class O</t>
  </si>
  <si>
    <t>C83O</t>
  </si>
  <si>
    <t>027GO</t>
  </si>
  <si>
    <t>DYTAS</t>
  </si>
  <si>
    <t>Rear Spring Load - Class P</t>
  </si>
  <si>
    <t>C83P</t>
  </si>
  <si>
    <t>027GP</t>
  </si>
  <si>
    <t>DYTAT</t>
  </si>
  <si>
    <t>Rear Spring Load - Class Q</t>
  </si>
  <si>
    <t>C83Q</t>
  </si>
  <si>
    <t>027GQ</t>
  </si>
  <si>
    <t>DYTAU</t>
  </si>
  <si>
    <t>Rear Spring Load - Class R</t>
  </si>
  <si>
    <t>C83R</t>
  </si>
  <si>
    <t>027GR</t>
  </si>
  <si>
    <t>CATA</t>
  </si>
  <si>
    <t>Wheel Nuts</t>
  </si>
  <si>
    <t>WHTY</t>
  </si>
  <si>
    <t>D5EAE</t>
  </si>
  <si>
    <t>Non Locking Wheel Nuts</t>
  </si>
  <si>
    <t>C25B</t>
  </si>
  <si>
    <t>055AF</t>
  </si>
  <si>
    <t>CBFA</t>
  </si>
  <si>
    <t>Tyre Pressure Monitoring</t>
  </si>
  <si>
    <t>D19AB</t>
  </si>
  <si>
    <t>C42R</t>
  </si>
  <si>
    <t>CBFD</t>
  </si>
  <si>
    <t>Tyre Size</t>
  </si>
  <si>
    <t>D3HBY</t>
  </si>
  <si>
    <t>245/45ZR 18 Tyre</t>
  </si>
  <si>
    <t>C61B</t>
  </si>
  <si>
    <t>029WZ</t>
  </si>
  <si>
    <t>D3IA2</t>
  </si>
  <si>
    <t>245/40 ZR 19 BSW</t>
  </si>
  <si>
    <t>C61D</t>
  </si>
  <si>
    <t>029XA</t>
  </si>
  <si>
    <t>D3KDT</t>
  </si>
  <si>
    <t>225/55 R17 Summer</t>
  </si>
  <si>
    <t>C62T</t>
  </si>
  <si>
    <t>029VS</t>
  </si>
  <si>
    <t>CBFG</t>
  </si>
  <si>
    <t>Driver Monitoring</t>
  </si>
  <si>
    <t>HLRAB</t>
  </si>
  <si>
    <t>C59A</t>
  </si>
  <si>
    <t>CBFK</t>
  </si>
  <si>
    <t>TPMS Warning Light Spec</t>
  </si>
  <si>
    <t>D1EAB</t>
  </si>
  <si>
    <t>TPMS Warning Light Spec 20%</t>
  </si>
  <si>
    <t>21BB</t>
  </si>
  <si>
    <t>062DB</t>
  </si>
  <si>
    <t>CBFL</t>
  </si>
  <si>
    <t>Summary Wheel Tyres</t>
  </si>
  <si>
    <t>Z32DB</t>
  </si>
  <si>
    <t>18' Wheel</t>
  </si>
  <si>
    <t>32DB</t>
  </si>
  <si>
    <t>062EB</t>
  </si>
  <si>
    <t>Z32DC</t>
  </si>
  <si>
    <t>19' Wheel</t>
  </si>
  <si>
    <t>32DC</t>
  </si>
  <si>
    <t>062EC</t>
  </si>
  <si>
    <t>CBSA</t>
  </si>
  <si>
    <t>Disc Brake Size</t>
  </si>
  <si>
    <t>E6CAW</t>
  </si>
  <si>
    <t>G36F</t>
  </si>
  <si>
    <t>E6CBA</t>
  </si>
  <si>
    <t>Disc Brake Size Frt 17/RR 17</t>
  </si>
  <si>
    <t>G36K</t>
  </si>
  <si>
    <t>020DZ</t>
  </si>
  <si>
    <t>CBUA</t>
  </si>
  <si>
    <t>Brake Pads</t>
  </si>
  <si>
    <t>FB5AC</t>
  </si>
  <si>
    <t>NAO Brake Pads</t>
  </si>
  <si>
    <t>C06B</t>
  </si>
  <si>
    <t>020DE</t>
  </si>
  <si>
    <t>CBVA</t>
  </si>
  <si>
    <t>Brake Reservoir Labels</t>
  </si>
  <si>
    <t>FD1AB</t>
  </si>
  <si>
    <t>Brake Reservoir Label</t>
  </si>
  <si>
    <t>D87A</t>
  </si>
  <si>
    <t>096CB</t>
  </si>
  <si>
    <t>CBVB</t>
  </si>
  <si>
    <t>Brake Reservoir Cap</t>
  </si>
  <si>
    <t>FD2AB</t>
  </si>
  <si>
    <t>Brake Reservoir Cap-Pictorial</t>
  </si>
  <si>
    <t>34BB</t>
  </si>
  <si>
    <t>096EB</t>
  </si>
  <si>
    <t>CBYA</t>
  </si>
  <si>
    <t>Steering Column</t>
  </si>
  <si>
    <t>GRAA3</t>
  </si>
  <si>
    <t>Manual Stg Col - NON Pyro Tecnics</t>
  </si>
  <si>
    <t>D07H</t>
  </si>
  <si>
    <t>049AT</t>
  </si>
  <si>
    <t>GRAAX</t>
  </si>
  <si>
    <t>D07J</t>
  </si>
  <si>
    <t>CBYB</t>
  </si>
  <si>
    <t>Steering Column Lock</t>
  </si>
  <si>
    <t>GRBAB</t>
  </si>
  <si>
    <t>S69A</t>
  </si>
  <si>
    <t>049AS</t>
  </si>
  <si>
    <t>CCBA</t>
  </si>
  <si>
    <t>Steering Wheel Styles</t>
  </si>
  <si>
    <t>GTAEK</t>
  </si>
  <si>
    <t>F96Y</t>
  </si>
  <si>
    <t>GTAFA</t>
  </si>
  <si>
    <t>F97T</t>
  </si>
  <si>
    <t>CCBB</t>
  </si>
  <si>
    <t>Steering Wheel Heating</t>
  </si>
  <si>
    <t>GTBAA</t>
  </si>
  <si>
    <t>LESS Heated Steering wheel</t>
  </si>
  <si>
    <t>F97Z</t>
  </si>
  <si>
    <t>032DU</t>
  </si>
  <si>
    <t>GTBAB</t>
  </si>
  <si>
    <t>F97A</t>
  </si>
  <si>
    <t>CCFA</t>
  </si>
  <si>
    <t>Steel / Alloy Options</t>
  </si>
  <si>
    <t>D2UE7</t>
  </si>
  <si>
    <t>C53P</t>
  </si>
  <si>
    <t>D2UEU</t>
  </si>
  <si>
    <t>C53S</t>
  </si>
  <si>
    <t>D2UVM</t>
  </si>
  <si>
    <t>C75H</t>
  </si>
  <si>
    <t>D2VCN</t>
  </si>
  <si>
    <t>C53Z</t>
  </si>
  <si>
    <t>D2VLQ</t>
  </si>
  <si>
    <t>C75J</t>
  </si>
  <si>
    <t>CCOA</t>
  </si>
  <si>
    <t>Foot Pedals</t>
  </si>
  <si>
    <t>GCEAB</t>
  </si>
  <si>
    <t>Foot Pedal - standard</t>
  </si>
  <si>
    <t>G48R</t>
  </si>
  <si>
    <t>051AK</t>
  </si>
  <si>
    <t>GCEAE</t>
  </si>
  <si>
    <t>G48S</t>
  </si>
  <si>
    <t>CCTA</t>
  </si>
  <si>
    <t>Brake Calipers</t>
  </si>
  <si>
    <t>FBBAQ</t>
  </si>
  <si>
    <t>Brake Calipers Unbranded / Unpainted</t>
  </si>
  <si>
    <t>C10W</t>
  </si>
  <si>
    <t>020BG</t>
  </si>
  <si>
    <t>CCTB</t>
  </si>
  <si>
    <t>Autonomous Emergency Braking</t>
  </si>
  <si>
    <t>FBKAF</t>
  </si>
  <si>
    <t>H46V</t>
  </si>
  <si>
    <t>CCYA</t>
  </si>
  <si>
    <t>Tyre Vendor</t>
  </si>
  <si>
    <t>D3YAK</t>
  </si>
  <si>
    <t>Tyres Pirelli</t>
  </si>
  <si>
    <t>C71B</t>
  </si>
  <si>
    <t>029BA</t>
  </si>
  <si>
    <t>FACA</t>
  </si>
  <si>
    <t>Interior Mirrors</t>
  </si>
  <si>
    <t>BSBA8</t>
  </si>
  <si>
    <t>B68E</t>
  </si>
  <si>
    <t>BSBAF</t>
  </si>
  <si>
    <t>B68B</t>
  </si>
  <si>
    <t>FAEA</t>
  </si>
  <si>
    <t>Loadspace Covering</t>
  </si>
  <si>
    <t>BDCAA</t>
  </si>
  <si>
    <t>LESS Loadspace Cover</t>
  </si>
  <si>
    <t>07AA</t>
  </si>
  <si>
    <t>063AP</t>
  </si>
  <si>
    <t>FATA</t>
  </si>
  <si>
    <t>Floor Mats</t>
  </si>
  <si>
    <t>BBHAB</t>
  </si>
  <si>
    <t>H69H</t>
  </si>
  <si>
    <t>BBHCM</t>
  </si>
  <si>
    <t>H69K</t>
  </si>
  <si>
    <t>FAXA</t>
  </si>
  <si>
    <t>Flare Holder</t>
  </si>
  <si>
    <t>AHJAA</t>
  </si>
  <si>
    <t>LESS Flare Holder</t>
  </si>
  <si>
    <t>D74Z</t>
  </si>
  <si>
    <t>116AZ</t>
  </si>
  <si>
    <t>FBAB</t>
  </si>
  <si>
    <t>Side Door Treadplates</t>
  </si>
  <si>
    <t>A1PAL</t>
  </si>
  <si>
    <t>F28E</t>
  </si>
  <si>
    <t>A1PBA</t>
  </si>
  <si>
    <t>F28F</t>
  </si>
  <si>
    <t>A1PCS</t>
  </si>
  <si>
    <t>F30F</t>
  </si>
  <si>
    <t>FBAC</t>
  </si>
  <si>
    <t>Loadspace Scuff Plate</t>
  </si>
  <si>
    <t>A1QAA</t>
  </si>
  <si>
    <t>LESS Loadspace Scuff Plate</t>
  </si>
  <si>
    <t>F31Z</t>
  </si>
  <si>
    <t>048BO</t>
  </si>
  <si>
    <t>FCQC</t>
  </si>
  <si>
    <t>Interior Head Impact Protection (Upper)</t>
  </si>
  <si>
    <t>ADTAA</t>
  </si>
  <si>
    <t>LESS Int Head Impact Protection (Upper)</t>
  </si>
  <si>
    <t>B95Z</t>
  </si>
  <si>
    <t>026BK</t>
  </si>
  <si>
    <t>FCQF</t>
  </si>
  <si>
    <t>External Deployable Devices</t>
  </si>
  <si>
    <t>A3RAB</t>
  </si>
  <si>
    <t>Deployable Bonnet</t>
  </si>
  <si>
    <t>B93A</t>
  </si>
  <si>
    <t>050BC</t>
  </si>
  <si>
    <t>FCQH</t>
  </si>
  <si>
    <t>Fuel Label</t>
  </si>
  <si>
    <t>B1BAF</t>
  </si>
  <si>
    <t>Fuel Label - China</t>
  </si>
  <si>
    <t>C39C</t>
  </si>
  <si>
    <t>096FC</t>
  </si>
  <si>
    <t>FCVA</t>
  </si>
  <si>
    <t>IP Trim</t>
  </si>
  <si>
    <t>HCLBQ</t>
  </si>
  <si>
    <t>IP - PVC/Leatherette</t>
  </si>
  <si>
    <t>HW03</t>
  </si>
  <si>
    <t>088PS</t>
  </si>
  <si>
    <t>FCVB</t>
  </si>
  <si>
    <t>IP Contrast Colour</t>
  </si>
  <si>
    <t>B52BR</t>
  </si>
  <si>
    <t>IP Contrast-Ebony/Ebony</t>
  </si>
  <si>
    <t>FPDB</t>
  </si>
  <si>
    <t>038DL</t>
  </si>
  <si>
    <t>B52CQ</t>
  </si>
  <si>
    <t>IP Contrast-Ebony/Tan</t>
  </si>
  <si>
    <t>FRJX</t>
  </si>
  <si>
    <t>038CZ</t>
  </si>
  <si>
    <t>B52D6</t>
  </si>
  <si>
    <t>IP Contrast-Espresso/Latte</t>
  </si>
  <si>
    <t>FRJD</t>
  </si>
  <si>
    <t>038JG</t>
  </si>
  <si>
    <t>B52DU</t>
  </si>
  <si>
    <t>IP Contrast-Oyster/Light Oyster</t>
  </si>
  <si>
    <t>FRJC</t>
  </si>
  <si>
    <t>038DY</t>
  </si>
  <si>
    <t>B52DZ</t>
  </si>
  <si>
    <t>IP Contrast-Espresso</t>
  </si>
  <si>
    <t>FRJE</t>
  </si>
  <si>
    <t>038JH</t>
  </si>
  <si>
    <t>B52E1</t>
  </si>
  <si>
    <t>IP Contrast - Caraway</t>
  </si>
  <si>
    <t>FLKY</t>
  </si>
  <si>
    <t>038NA</t>
  </si>
  <si>
    <t>B52ET</t>
  </si>
  <si>
    <t>I/P Facia Contrast-Ebony/Mars Red</t>
  </si>
  <si>
    <t>FRJW</t>
  </si>
  <si>
    <t>038MF</t>
  </si>
  <si>
    <t>B52EZ</t>
  </si>
  <si>
    <t>IP Contrast - Ebony/Siena Tan</t>
  </si>
  <si>
    <t>FLKN</t>
  </si>
  <si>
    <t>038MQ</t>
  </si>
  <si>
    <t>FCVC</t>
  </si>
  <si>
    <t>Console Material</t>
  </si>
  <si>
    <t>B5YAC</t>
  </si>
  <si>
    <t>Leather Console</t>
  </si>
  <si>
    <t>H02A</t>
  </si>
  <si>
    <t>088FA</t>
  </si>
  <si>
    <t>B5YAS</t>
  </si>
  <si>
    <t>Taurus Grain PVC Console</t>
  </si>
  <si>
    <t>H02H</t>
  </si>
  <si>
    <t>088MC</t>
  </si>
  <si>
    <t>B5YAT</t>
  </si>
  <si>
    <t>Taurus Grain PU Console</t>
  </si>
  <si>
    <t>H02J</t>
  </si>
  <si>
    <t>088MD</t>
  </si>
  <si>
    <t>FCVH</t>
  </si>
  <si>
    <t>IP Contrast Stitch</t>
  </si>
  <si>
    <t>BXGA1</t>
  </si>
  <si>
    <t>IP Stitch - Vintage Tan</t>
  </si>
  <si>
    <t>SFMW</t>
  </si>
  <si>
    <t>038KH</t>
  </si>
  <si>
    <t>BXGA3</t>
  </si>
  <si>
    <t>IP Stitch - Caraway</t>
  </si>
  <si>
    <t>SFMZ</t>
  </si>
  <si>
    <t>038KL</t>
  </si>
  <si>
    <t>BXGAA</t>
  </si>
  <si>
    <t>LESS IP Contrast Stitch</t>
  </si>
  <si>
    <t>SFNC</t>
  </si>
  <si>
    <t>038JF</t>
  </si>
  <si>
    <t>BXGAB</t>
  </si>
  <si>
    <t>IP Stitch - Red</t>
  </si>
  <si>
    <t>SFHX</t>
  </si>
  <si>
    <t>038JA</t>
  </si>
  <si>
    <t>BXGAK</t>
  </si>
  <si>
    <t>IP Stitch - Ebony</t>
  </si>
  <si>
    <t>SFDB</t>
  </si>
  <si>
    <t>038JB</t>
  </si>
  <si>
    <t>BXGAR</t>
  </si>
  <si>
    <t>IP Stitch - Light Oyster</t>
  </si>
  <si>
    <t>SFMT</t>
  </si>
  <si>
    <t>038JD</t>
  </si>
  <si>
    <t>BXGAZ</t>
  </si>
  <si>
    <t>IP Stitch - Flame Red</t>
  </si>
  <si>
    <t>SFMV</t>
  </si>
  <si>
    <t>038KG</t>
  </si>
  <si>
    <t>FDRA</t>
  </si>
  <si>
    <t>Console Contrast Stitch</t>
  </si>
  <si>
    <t>BXJA1</t>
  </si>
  <si>
    <t>Console Stitch - Flame Red</t>
  </si>
  <si>
    <t>SCSP</t>
  </si>
  <si>
    <t>089DX</t>
  </si>
  <si>
    <t>BXJAA</t>
  </si>
  <si>
    <t>LESS Console Stitch</t>
  </si>
  <si>
    <t>SCNC</t>
  </si>
  <si>
    <t>089DA</t>
  </si>
  <si>
    <t>BXJAB</t>
  </si>
  <si>
    <t>Console Stitch - Red</t>
  </si>
  <si>
    <t>SCRZ</t>
  </si>
  <si>
    <t>089DF</t>
  </si>
  <si>
    <t>BXJAM</t>
  </si>
  <si>
    <t>Console Stitch - Light Oyster</t>
  </si>
  <si>
    <t>SCMT</t>
  </si>
  <si>
    <t>089DD</t>
  </si>
  <si>
    <t>BXJAZ</t>
  </si>
  <si>
    <t>Console Stitch - Ebony</t>
  </si>
  <si>
    <t>SCSZ</t>
  </si>
  <si>
    <t>089DW</t>
  </si>
  <si>
    <t>BXJBC</t>
  </si>
  <si>
    <t>Console Stitch - Vintage Tan</t>
  </si>
  <si>
    <t>SCTA</t>
  </si>
  <si>
    <t>089HC</t>
  </si>
  <si>
    <t>BXJBE</t>
  </si>
  <si>
    <t>Console Stitch - Caraway</t>
  </si>
  <si>
    <t>SCTC</t>
  </si>
  <si>
    <t>089HE</t>
  </si>
  <si>
    <t>FEAA</t>
  </si>
  <si>
    <t>Interior Pack</t>
  </si>
  <si>
    <t>PACK</t>
  </si>
  <si>
    <t>ZK02E</t>
  </si>
  <si>
    <t>LESS Extended Leather Pack</t>
  </si>
  <si>
    <t>K02E</t>
  </si>
  <si>
    <t>032HK</t>
  </si>
  <si>
    <t>FECA</t>
  </si>
  <si>
    <t>Loadspace Stowage Rails</t>
  </si>
  <si>
    <t>BAVAA</t>
  </si>
  <si>
    <t>LESS Loadspace Stowage Rails</t>
  </si>
  <si>
    <t>H52B</t>
  </si>
  <si>
    <t>135AJ</t>
  </si>
  <si>
    <t>FEGA</t>
  </si>
  <si>
    <t>CCR Cockpit</t>
  </si>
  <si>
    <t>A55AB</t>
  </si>
  <si>
    <t>B83A</t>
  </si>
  <si>
    <t>210AA</t>
  </si>
  <si>
    <t>FEGB</t>
  </si>
  <si>
    <t>CCR Centre Console</t>
  </si>
  <si>
    <t>A56AB</t>
  </si>
  <si>
    <t>B82A</t>
  </si>
  <si>
    <t>211AA</t>
  </si>
  <si>
    <t>FEGC</t>
  </si>
  <si>
    <t>CCR Seats</t>
  </si>
  <si>
    <t>A57AB</t>
  </si>
  <si>
    <t>B84A</t>
  </si>
  <si>
    <t>212AA</t>
  </si>
  <si>
    <t>FEGE</t>
  </si>
  <si>
    <t>CCR Front Bumpers</t>
  </si>
  <si>
    <t>A5QAB</t>
  </si>
  <si>
    <t>B85A</t>
  </si>
  <si>
    <t>214AA</t>
  </si>
  <si>
    <t>FEGF</t>
  </si>
  <si>
    <t>CCR Rear Bumpers</t>
  </si>
  <si>
    <t>A5RAB</t>
  </si>
  <si>
    <t>B86A</t>
  </si>
  <si>
    <t>215AA</t>
  </si>
  <si>
    <t>FEGG</t>
  </si>
  <si>
    <t>CCR Door Casing</t>
  </si>
  <si>
    <t>A5SAB</t>
  </si>
  <si>
    <t>CCR Door Casing - Core</t>
  </si>
  <si>
    <t>B87A</t>
  </si>
  <si>
    <t>216AA</t>
  </si>
  <si>
    <t>FEGH</t>
  </si>
  <si>
    <t>CCR Headlining</t>
  </si>
  <si>
    <t>A5TAB</t>
  </si>
  <si>
    <t>B88A</t>
  </si>
  <si>
    <t>217AA</t>
  </si>
  <si>
    <t>FEGK</t>
  </si>
  <si>
    <t>KSK Instrument Panel Harness</t>
  </si>
  <si>
    <t>A8JAB</t>
  </si>
  <si>
    <t>B91A</t>
  </si>
  <si>
    <t>219AA</t>
  </si>
  <si>
    <t>FEGL</t>
  </si>
  <si>
    <t>KSK Cabin Harness</t>
  </si>
  <si>
    <t>A8KAB</t>
  </si>
  <si>
    <t>B92A</t>
  </si>
  <si>
    <t>220AA</t>
  </si>
  <si>
    <t>FEGP</t>
  </si>
  <si>
    <t>CCR Front Damper</t>
  </si>
  <si>
    <t>A8EAB</t>
  </si>
  <si>
    <t>B89A</t>
  </si>
  <si>
    <t>223AA</t>
  </si>
  <si>
    <t>FEGQ</t>
  </si>
  <si>
    <t>CCR Rear Damper</t>
  </si>
  <si>
    <t>A8FAB</t>
  </si>
  <si>
    <t>B90A</t>
  </si>
  <si>
    <t>224AA</t>
  </si>
  <si>
    <t>FEKA</t>
  </si>
  <si>
    <t>Seat Material</t>
  </si>
  <si>
    <t>4HK00</t>
  </si>
  <si>
    <t>Perforated Grained Lthr Sts</t>
  </si>
  <si>
    <t>B41P</t>
  </si>
  <si>
    <t>033JE</t>
  </si>
  <si>
    <t>4JS00</t>
  </si>
  <si>
    <t>Luxtec Seats</t>
  </si>
  <si>
    <t>B41R</t>
  </si>
  <si>
    <t>033YD</t>
  </si>
  <si>
    <t>4KU00</t>
  </si>
  <si>
    <t>Sport Perf Windsor Leather</t>
  </si>
  <si>
    <t>B40I</t>
  </si>
  <si>
    <t>033YA</t>
  </si>
  <si>
    <t>FELA</t>
  </si>
  <si>
    <t>Carpet Colours</t>
  </si>
  <si>
    <t>BBWA2</t>
  </si>
  <si>
    <t>Carpet - Espresso</t>
  </si>
  <si>
    <t>KAMC</t>
  </si>
  <si>
    <t>124AP</t>
  </si>
  <si>
    <t>BBWBC</t>
  </si>
  <si>
    <t>Carpet - Ebony</t>
  </si>
  <si>
    <t>KPDE</t>
  </si>
  <si>
    <t>124AH</t>
  </si>
  <si>
    <t>BBWDR</t>
  </si>
  <si>
    <t>Carpet - Oyster</t>
  </si>
  <si>
    <t>KAMT</t>
  </si>
  <si>
    <t>124AQ</t>
  </si>
  <si>
    <t>BBWDV</t>
  </si>
  <si>
    <t>Carpet - Caraway</t>
  </si>
  <si>
    <t>KAMW</t>
  </si>
  <si>
    <t>124BC</t>
  </si>
  <si>
    <t>FEMB</t>
  </si>
  <si>
    <t>Exterior Packs</t>
  </si>
  <si>
    <t>ZB60U</t>
  </si>
  <si>
    <t>B60U</t>
  </si>
  <si>
    <t>ZZ99M</t>
  </si>
  <si>
    <t>LESS Exterior Pack</t>
  </si>
  <si>
    <t>Z99M</t>
  </si>
  <si>
    <t>032EZ</t>
  </si>
  <si>
    <t>FEML</t>
  </si>
  <si>
    <t>Exterior Combination Packs</t>
  </si>
  <si>
    <t>Z28EM</t>
  </si>
  <si>
    <t>Core Exterior 6</t>
  </si>
  <si>
    <t>28EM</t>
  </si>
  <si>
    <t>032YR</t>
  </si>
  <si>
    <t>Z28EN</t>
  </si>
  <si>
    <t>R-Dynamic Exterior 6</t>
  </si>
  <si>
    <t>28EN</t>
  </si>
  <si>
    <t>032YS</t>
  </si>
  <si>
    <t>Z28EP</t>
  </si>
  <si>
    <t>R-Dynamic+Black Pack Exterior 6</t>
  </si>
  <si>
    <t>28EP</t>
  </si>
  <si>
    <t>032YT</t>
  </si>
  <si>
    <t>Z28EQ</t>
  </si>
  <si>
    <t>Core+Black Pack Exterior 6</t>
  </si>
  <si>
    <t>28EQ</t>
  </si>
  <si>
    <t>032YU</t>
  </si>
  <si>
    <t>FFWA</t>
  </si>
  <si>
    <t>Fire Extinguisher</t>
  </si>
  <si>
    <t>AHKAA</t>
  </si>
  <si>
    <t>LESS Fire Extinguisher</t>
  </si>
  <si>
    <t>B18Z</t>
  </si>
  <si>
    <t>035AA</t>
  </si>
  <si>
    <t>FJBC</t>
  </si>
  <si>
    <t>Door Armrest</t>
  </si>
  <si>
    <t>BCZAG</t>
  </si>
  <si>
    <t>Door Armrest - PVC</t>
  </si>
  <si>
    <t>H60E</t>
  </si>
  <si>
    <t>033IO</t>
  </si>
  <si>
    <t>BCZAH</t>
  </si>
  <si>
    <t>Door Armrest - Leather</t>
  </si>
  <si>
    <t>H60F</t>
  </si>
  <si>
    <t>033IG</t>
  </si>
  <si>
    <t>BCZAJ</t>
  </si>
  <si>
    <t>Door Armrest - Premium Leather</t>
  </si>
  <si>
    <t>H60G</t>
  </si>
  <si>
    <t>033IZ</t>
  </si>
  <si>
    <t>BCZAQ</t>
  </si>
  <si>
    <t>Door Armrest - Leather w/Stitch Insert</t>
  </si>
  <si>
    <t>H60A</t>
  </si>
  <si>
    <t>033JB</t>
  </si>
  <si>
    <t>BCZAU</t>
  </si>
  <si>
    <t>Door Armrest - Taurus/PVC</t>
  </si>
  <si>
    <t>H60B</t>
  </si>
  <si>
    <t>033RC</t>
  </si>
  <si>
    <t>BCZAV</t>
  </si>
  <si>
    <t>Door Armrest - Taurus/PVC w/Stitch</t>
  </si>
  <si>
    <t>H60C</t>
  </si>
  <si>
    <t>033RD</t>
  </si>
  <si>
    <t>FJBD</t>
  </si>
  <si>
    <t>Door Casing Material</t>
  </si>
  <si>
    <t>BCKAQ</t>
  </si>
  <si>
    <t>Door Trim Panel - Leather</t>
  </si>
  <si>
    <t>B15F</t>
  </si>
  <si>
    <t>080NP</t>
  </si>
  <si>
    <t>BCKAU</t>
  </si>
  <si>
    <t>Door Trim Panel - PVC</t>
  </si>
  <si>
    <t>B15A</t>
  </si>
  <si>
    <t>080NC</t>
  </si>
  <si>
    <t>BCKBA</t>
  </si>
  <si>
    <t>Door Trim Panel - PVC/Taurus</t>
  </si>
  <si>
    <t>B15Q</t>
  </si>
  <si>
    <t>080NQ</t>
  </si>
  <si>
    <t>BCKBC</t>
  </si>
  <si>
    <t>Door Trim Panel - Windsor Leather</t>
  </si>
  <si>
    <t>B15Y</t>
  </si>
  <si>
    <t>080NL</t>
  </si>
  <si>
    <t>FJCE</t>
  </si>
  <si>
    <t>Loadspace Nets</t>
  </si>
  <si>
    <t>BD9AA</t>
  </si>
  <si>
    <t>LESS Loadspace Nets/Mouldings</t>
  </si>
  <si>
    <t>C02A</t>
  </si>
  <si>
    <t>026RD</t>
  </si>
  <si>
    <t>HAGA</t>
  </si>
  <si>
    <t>Passenger Seat Away</t>
  </si>
  <si>
    <t>BWKAA</t>
  </si>
  <si>
    <t>LESS Passenger Seat Away</t>
  </si>
  <si>
    <t>H84Z</t>
  </si>
  <si>
    <t>033NA</t>
  </si>
  <si>
    <t>BWKAD</t>
  </si>
  <si>
    <t>H84A</t>
  </si>
  <si>
    <t>033NB</t>
  </si>
  <si>
    <t>HAHB</t>
  </si>
  <si>
    <t>Seat Articulation</t>
  </si>
  <si>
    <t>BZAAA</t>
  </si>
  <si>
    <t>LESS Driver/Pass Seat Articulation</t>
  </si>
  <si>
    <t>H98A</t>
  </si>
  <si>
    <t>033VA</t>
  </si>
  <si>
    <t>HAJA</t>
  </si>
  <si>
    <t>Seat Cushion Ext</t>
  </si>
  <si>
    <t>BV9AA</t>
  </si>
  <si>
    <t>LESS Cushion Extension</t>
  </si>
  <si>
    <t>H50Z</t>
  </si>
  <si>
    <t>033LR</t>
  </si>
  <si>
    <t>BV9AB</t>
  </si>
  <si>
    <t>Cushion Extension</t>
  </si>
  <si>
    <t>H50A</t>
  </si>
  <si>
    <t>033LQ</t>
  </si>
  <si>
    <t>HANB</t>
  </si>
  <si>
    <t>Rear Headrests</t>
  </si>
  <si>
    <t>BWJAB</t>
  </si>
  <si>
    <t>Rear Centre Head Restraint</t>
  </si>
  <si>
    <t>F48T</t>
  </si>
  <si>
    <t>033DB</t>
  </si>
  <si>
    <t>HANC</t>
  </si>
  <si>
    <t>Front Headrestraint</t>
  </si>
  <si>
    <t>BVRAH</t>
  </si>
  <si>
    <t>Front Headrestraint - Manual</t>
  </si>
  <si>
    <t>F54A</t>
  </si>
  <si>
    <t>033DN</t>
  </si>
  <si>
    <t>HAPA</t>
  </si>
  <si>
    <t>Front Seat Memory</t>
  </si>
  <si>
    <t>A4EAA</t>
  </si>
  <si>
    <t>LESS Front Seat Memory</t>
  </si>
  <si>
    <t>H44S</t>
  </si>
  <si>
    <t>033ZU</t>
  </si>
  <si>
    <t>A4EAC</t>
  </si>
  <si>
    <t>Electric Front Seat with Drv memory</t>
  </si>
  <si>
    <t>H44N</t>
  </si>
  <si>
    <t>033CT</t>
  </si>
  <si>
    <t>A4EAF</t>
  </si>
  <si>
    <t>Drv/Pas Elec Ft Seat Memory</t>
  </si>
  <si>
    <t>H44P</t>
  </si>
  <si>
    <t>033IP</t>
  </si>
  <si>
    <t>HAQA</t>
  </si>
  <si>
    <t>Seat Heating</t>
  </si>
  <si>
    <t>A4DAA</t>
  </si>
  <si>
    <t>LESS Seat Heating</t>
  </si>
  <si>
    <t>F53Z</t>
  </si>
  <si>
    <t>033EP</t>
  </si>
  <si>
    <t>A4DAB</t>
  </si>
  <si>
    <t>Heated Seats- Driver and Passenger's</t>
  </si>
  <si>
    <t>F53A</t>
  </si>
  <si>
    <t>033BV</t>
  </si>
  <si>
    <t>A4DAD</t>
  </si>
  <si>
    <t>Cooled/heated front seats</t>
  </si>
  <si>
    <t>F53F</t>
  </si>
  <si>
    <t>033GP</t>
  </si>
  <si>
    <t>HAQC</t>
  </si>
  <si>
    <t>Rear Seat (2nd Row) Heating</t>
  </si>
  <si>
    <t>A6ZAA</t>
  </si>
  <si>
    <t>LESS Rear Heating/Cooling</t>
  </si>
  <si>
    <t>27AZ</t>
  </si>
  <si>
    <t>033XH</t>
  </si>
  <si>
    <t>A6ZAC</t>
  </si>
  <si>
    <t>Heated and Cooled Rear Seats</t>
  </si>
  <si>
    <t>27AB</t>
  </si>
  <si>
    <t>033XK</t>
  </si>
  <si>
    <t>HAQE</t>
  </si>
  <si>
    <t>Front Seat Functionality Packs</t>
  </si>
  <si>
    <t>Z38AG</t>
  </si>
  <si>
    <t>38AG</t>
  </si>
  <si>
    <t>Z38FX</t>
  </si>
  <si>
    <t>38FX</t>
  </si>
  <si>
    <t>Z38FZ</t>
  </si>
  <si>
    <t>38FZ</t>
  </si>
  <si>
    <t>Z38GF</t>
  </si>
  <si>
    <t>38GF</t>
  </si>
  <si>
    <t>HAQF</t>
  </si>
  <si>
    <t>2nd Row Seat Functionality Pack</t>
  </si>
  <si>
    <t>Z39AX</t>
  </si>
  <si>
    <t>39AX</t>
  </si>
  <si>
    <t>Z39DW</t>
  </si>
  <si>
    <t>39DW</t>
  </si>
  <si>
    <t>HAQG</t>
  </si>
  <si>
    <t>2nd Row Headrest Fore/Aft</t>
  </si>
  <si>
    <t>BXTAA</t>
  </si>
  <si>
    <t>LESS 2nd Row Headrest Fore/Aft</t>
  </si>
  <si>
    <t>68BZ</t>
  </si>
  <si>
    <t>033RJ</t>
  </si>
  <si>
    <t>HAQH</t>
  </si>
  <si>
    <t>2nd Row Headrest Height</t>
  </si>
  <si>
    <t>BXUAB</t>
  </si>
  <si>
    <t>2nd Row Headrest Man Height</t>
  </si>
  <si>
    <t>69BB</t>
  </si>
  <si>
    <t>033RN</t>
  </si>
  <si>
    <t>HAQJ</t>
  </si>
  <si>
    <t>2nd Row Headrest Winged</t>
  </si>
  <si>
    <t>BXWAA</t>
  </si>
  <si>
    <t>LESS 2nd Row Headrest Winged</t>
  </si>
  <si>
    <t>70BZ</t>
  </si>
  <si>
    <t>033RQ</t>
  </si>
  <si>
    <t>HAQL</t>
  </si>
  <si>
    <t>Interior Enviroment Packs</t>
  </si>
  <si>
    <t>Z54HD</t>
  </si>
  <si>
    <t>Interior Enviroment Pack 170</t>
  </si>
  <si>
    <t>54HD</t>
  </si>
  <si>
    <t>301XP</t>
  </si>
  <si>
    <t>Z54HF</t>
  </si>
  <si>
    <t>Interior Enviroment Pack 172</t>
  </si>
  <si>
    <t>54HF</t>
  </si>
  <si>
    <t>301XR</t>
  </si>
  <si>
    <t>Z54KX</t>
  </si>
  <si>
    <t>Interior Enviroment Pack 236</t>
  </si>
  <si>
    <t>54KX</t>
  </si>
  <si>
    <t>303GJ</t>
  </si>
  <si>
    <t>Z54KZ</t>
  </si>
  <si>
    <t>Interior Enviroment Pack 238</t>
  </si>
  <si>
    <t>54KZ</t>
  </si>
  <si>
    <t>303GL</t>
  </si>
  <si>
    <t>Z54LA</t>
  </si>
  <si>
    <t>Interior Enviroment Pack 239</t>
  </si>
  <si>
    <t>54LA</t>
  </si>
  <si>
    <t>303GM</t>
  </si>
  <si>
    <t>Z54NJ</t>
  </si>
  <si>
    <t>Interior Enviroment Pack 294</t>
  </si>
  <si>
    <t>54NJ</t>
  </si>
  <si>
    <t>303QW</t>
  </si>
  <si>
    <t>Z54NL</t>
  </si>
  <si>
    <t>Interior Enviroment Pack 296</t>
  </si>
  <si>
    <t>54NL</t>
  </si>
  <si>
    <t>303QY</t>
  </si>
  <si>
    <t>Z54NM</t>
  </si>
  <si>
    <t>Interior Enviroment Pack 297</t>
  </si>
  <si>
    <t>54NM</t>
  </si>
  <si>
    <t>303QZ</t>
  </si>
  <si>
    <t>Z54NP</t>
  </si>
  <si>
    <t>Interior Enviroment Pack 299</t>
  </si>
  <si>
    <t>54NP</t>
  </si>
  <si>
    <t>303RB</t>
  </si>
  <si>
    <t>Z54NQ</t>
  </si>
  <si>
    <t>Interior Enviroment Pack 300</t>
  </si>
  <si>
    <t>54NQ</t>
  </si>
  <si>
    <t>303RC</t>
  </si>
  <si>
    <t>HAQO</t>
  </si>
  <si>
    <t>Seat Cover Combinations</t>
  </si>
  <si>
    <t>TRIM</t>
  </si>
  <si>
    <t>Z73HT</t>
  </si>
  <si>
    <t>73HT</t>
  </si>
  <si>
    <t>Z73HV</t>
  </si>
  <si>
    <t>73HV</t>
  </si>
  <si>
    <t>Z73JJ</t>
  </si>
  <si>
    <t>73JJ</t>
  </si>
  <si>
    <t>Z73JL</t>
  </si>
  <si>
    <t>73JL</t>
  </si>
  <si>
    <t>Z73JM</t>
  </si>
  <si>
    <t>73JM</t>
  </si>
  <si>
    <t>Z73RK</t>
  </si>
  <si>
    <t>73RK</t>
  </si>
  <si>
    <t>Z73RL</t>
  </si>
  <si>
    <t>73RL</t>
  </si>
  <si>
    <t>Z73SB</t>
  </si>
  <si>
    <t>73SB</t>
  </si>
  <si>
    <t>Z73SC</t>
  </si>
  <si>
    <t>73SC</t>
  </si>
  <si>
    <t>Z73SD</t>
  </si>
  <si>
    <t>73SD</t>
  </si>
  <si>
    <t>HAUA</t>
  </si>
  <si>
    <t>Second Row Seat Configuration</t>
  </si>
  <si>
    <t>BWCAD</t>
  </si>
  <si>
    <t>Fixed Rear Seat</t>
  </si>
  <si>
    <t>H48X</t>
  </si>
  <si>
    <t>033LN</t>
  </si>
  <si>
    <t>HAUC</t>
  </si>
  <si>
    <t>Rear Seat Recline</t>
  </si>
  <si>
    <t>BWNAA</t>
  </si>
  <si>
    <t>LESS Rear Seat Recline</t>
  </si>
  <si>
    <t>H49Z</t>
  </si>
  <si>
    <t>033LV</t>
  </si>
  <si>
    <t>HAUF</t>
  </si>
  <si>
    <t>Seatback Table</t>
  </si>
  <si>
    <t>BV7AA</t>
  </si>
  <si>
    <t>LESS - Seatback Table</t>
  </si>
  <si>
    <t>G73Z</t>
  </si>
  <si>
    <t>033XD</t>
  </si>
  <si>
    <t>HAUG</t>
  </si>
  <si>
    <t>Seat Cushion Fore/Aft</t>
  </si>
  <si>
    <t>BZBAC</t>
  </si>
  <si>
    <t>Seat Cushion Power Fore/Aft</t>
  </si>
  <si>
    <t>H88B</t>
  </si>
  <si>
    <t>180AC</t>
  </si>
  <si>
    <t>HAUH</t>
  </si>
  <si>
    <t>Seat Cushion Height</t>
  </si>
  <si>
    <t>BZCAC</t>
  </si>
  <si>
    <t>Seat Cushion Power Height</t>
  </si>
  <si>
    <t>H89B</t>
  </si>
  <si>
    <t>180BC</t>
  </si>
  <si>
    <t>HAUI</t>
  </si>
  <si>
    <t>Seat Cushion Tilt</t>
  </si>
  <si>
    <t>BZDAB</t>
  </si>
  <si>
    <t>Seat Cushion Power Tilt</t>
  </si>
  <si>
    <t>H90A</t>
  </si>
  <si>
    <t>180CA</t>
  </si>
  <si>
    <t>HAUJ</t>
  </si>
  <si>
    <t>Seat Squab Recline</t>
  </si>
  <si>
    <t>BZEAC</t>
  </si>
  <si>
    <t>Seat Squab Power Recline</t>
  </si>
  <si>
    <t>H91B</t>
  </si>
  <si>
    <t>180DB</t>
  </si>
  <si>
    <t>HAUK</t>
  </si>
  <si>
    <t>Front Headrest Fore/Aft</t>
  </si>
  <si>
    <t>BZFAA</t>
  </si>
  <si>
    <t>LESS Front Headrest Fore/Aft</t>
  </si>
  <si>
    <t>H92Z</t>
  </si>
  <si>
    <t>180EE</t>
  </si>
  <si>
    <t>HAUL</t>
  </si>
  <si>
    <t>Front Headrest Height</t>
  </si>
  <si>
    <t>BZGAB</t>
  </si>
  <si>
    <t>Front Headrest Manual Height</t>
  </si>
  <si>
    <t>H93A</t>
  </si>
  <si>
    <t>180FA</t>
  </si>
  <si>
    <t>HAUM</t>
  </si>
  <si>
    <t>Front Headrest Winged</t>
  </si>
  <si>
    <t>BZHAA</t>
  </si>
  <si>
    <t>LESS Front Headrest Winged</t>
  </si>
  <si>
    <t>H94Z</t>
  </si>
  <si>
    <t>180GG</t>
  </si>
  <si>
    <t>HAUN</t>
  </si>
  <si>
    <t>Seat Massage Front</t>
  </si>
  <si>
    <t>BZJAA</t>
  </si>
  <si>
    <t>LESS Seat Massage Front</t>
  </si>
  <si>
    <t>H95Z</t>
  </si>
  <si>
    <t>180HH</t>
  </si>
  <si>
    <t>BZJAB</t>
  </si>
  <si>
    <t>H95A</t>
  </si>
  <si>
    <t>180HA</t>
  </si>
  <si>
    <t>HAUO</t>
  </si>
  <si>
    <t>Front Seat Bolster</t>
  </si>
  <si>
    <t>BZKAA</t>
  </si>
  <si>
    <t>LESS Front Seat Bolster</t>
  </si>
  <si>
    <t>H96Z</t>
  </si>
  <si>
    <t>180JJ</t>
  </si>
  <si>
    <t>BZKAB</t>
  </si>
  <si>
    <t>Front Seat Bolster - Power</t>
  </si>
  <si>
    <t>H96A</t>
  </si>
  <si>
    <t>180JA</t>
  </si>
  <si>
    <t>HAUP</t>
  </si>
  <si>
    <t>Front Seat Lumbar</t>
  </si>
  <si>
    <t>BZMAA</t>
  </si>
  <si>
    <t>LESS Front Seat Lumbar</t>
  </si>
  <si>
    <t>H97Z</t>
  </si>
  <si>
    <t>180KK</t>
  </si>
  <si>
    <t>BZMAC</t>
  </si>
  <si>
    <t>Front Seat Lumbar - 4 Way</t>
  </si>
  <si>
    <t>H97B</t>
  </si>
  <si>
    <t>180KB</t>
  </si>
  <si>
    <t>HAUQ</t>
  </si>
  <si>
    <t>Seat Massage Rear</t>
  </si>
  <si>
    <t>BZNAA</t>
  </si>
  <si>
    <t>LESS Seat Massage Rear</t>
  </si>
  <si>
    <t>61AZ</t>
  </si>
  <si>
    <t>180LL</t>
  </si>
  <si>
    <t>BZNAB</t>
  </si>
  <si>
    <t>61AB</t>
  </si>
  <si>
    <t>180LB</t>
  </si>
  <si>
    <t>HAUU</t>
  </si>
  <si>
    <t>Row 2 Seat Lumbar</t>
  </si>
  <si>
    <t>BZSAA</t>
  </si>
  <si>
    <t>LESS Row 2 Seat Lumbar</t>
  </si>
  <si>
    <t>41BZ</t>
  </si>
  <si>
    <t>301DA</t>
  </si>
  <si>
    <t>BZSAB</t>
  </si>
  <si>
    <t>41BB</t>
  </si>
  <si>
    <t>301DB</t>
  </si>
  <si>
    <t>HAZA</t>
  </si>
  <si>
    <t>Rear Centre Armrest</t>
  </si>
  <si>
    <t>BWFAE</t>
  </si>
  <si>
    <t>RR Centre Armrest &amp; Cupholder</t>
  </si>
  <si>
    <t>H51A</t>
  </si>
  <si>
    <t>033LM</t>
  </si>
  <si>
    <t>HBGA</t>
  </si>
  <si>
    <t>Seat Belt Retractors</t>
  </si>
  <si>
    <t>CPXAN</t>
  </si>
  <si>
    <t>Seat Belt - Standard ROW</t>
  </si>
  <si>
    <t>H85C</t>
  </si>
  <si>
    <t>026FJ</t>
  </si>
  <si>
    <t>HBJA</t>
  </si>
  <si>
    <t>Child Restraints</t>
  </si>
  <si>
    <t>CPSAE</t>
  </si>
  <si>
    <t>2-Off Isofix Hard Point Attach Rr</t>
  </si>
  <si>
    <t>36AE</t>
  </si>
  <si>
    <t>026EE</t>
  </si>
  <si>
    <t>HBMA</t>
  </si>
  <si>
    <t>Seat Features</t>
  </si>
  <si>
    <t>BYPBF</t>
  </si>
  <si>
    <t>Front Seats - 12x12 Way</t>
  </si>
  <si>
    <t>H53J</t>
  </si>
  <si>
    <t>033JP</t>
  </si>
  <si>
    <t>BYPBG</t>
  </si>
  <si>
    <t>Front Seats - 18x18 Way</t>
  </si>
  <si>
    <t>H53K</t>
  </si>
  <si>
    <t>033JQ</t>
  </si>
  <si>
    <t>BYPBH</t>
  </si>
  <si>
    <t>Partial Electric 8 Way Dri Seat Adj</t>
  </si>
  <si>
    <t>H53M</t>
  </si>
  <si>
    <t>033ND</t>
  </si>
  <si>
    <t>HBMB</t>
  </si>
  <si>
    <t>Passenger Seats</t>
  </si>
  <si>
    <t>BYQBC</t>
  </si>
  <si>
    <t>Partial Electric 8 Way Pass Seat Adjust</t>
  </si>
  <si>
    <t>H54L</t>
  </si>
  <si>
    <t>033NE</t>
  </si>
  <si>
    <t>BYQBF</t>
  </si>
  <si>
    <t>Pwr Pass Fore/Aft/Height/Tilt</t>
  </si>
  <si>
    <t>H54H</t>
  </si>
  <si>
    <t>033MG</t>
  </si>
  <si>
    <t>BYQBG</t>
  </si>
  <si>
    <t>Pwr Pass Fore/Aft/Height/Tilt/Ext</t>
  </si>
  <si>
    <t>H54J</t>
  </si>
  <si>
    <t>033MH</t>
  </si>
  <si>
    <t>LABA</t>
  </si>
  <si>
    <t>Painted Roof</t>
  </si>
  <si>
    <t>CJDAQ</t>
  </si>
  <si>
    <t>Body Coloured Painted Roof</t>
  </si>
  <si>
    <t>F46C</t>
  </si>
  <si>
    <t>080AC</t>
  </si>
  <si>
    <t>CJDAS</t>
  </si>
  <si>
    <t>F46B</t>
  </si>
  <si>
    <t>LAMA</t>
  </si>
  <si>
    <t>Derivative Badges</t>
  </si>
  <si>
    <t>AEZA7</t>
  </si>
  <si>
    <t>Badge - HSE</t>
  </si>
  <si>
    <t>BE05</t>
  </si>
  <si>
    <t>057FN</t>
  </si>
  <si>
    <t>AEZAA</t>
  </si>
  <si>
    <t>LESS Derivative and/or Engine Badge</t>
  </si>
  <si>
    <t>B05H</t>
  </si>
  <si>
    <t>057EV</t>
  </si>
  <si>
    <t>AEZBD</t>
  </si>
  <si>
    <t>Badge - SE</t>
  </si>
  <si>
    <t>B14K</t>
  </si>
  <si>
    <t>057NO</t>
  </si>
  <si>
    <t>AEZEZ</t>
  </si>
  <si>
    <t>Badge - S</t>
  </si>
  <si>
    <t>BH05</t>
  </si>
  <si>
    <t>057TG</t>
  </si>
  <si>
    <t>LAMB</t>
  </si>
  <si>
    <t>Vehicle ID Badge</t>
  </si>
  <si>
    <t>AD8AA</t>
  </si>
  <si>
    <t>LESS Badge</t>
  </si>
  <si>
    <t>G25Z</t>
  </si>
  <si>
    <t>057HY</t>
  </si>
  <si>
    <t>AD8FR</t>
  </si>
  <si>
    <t>Badge - XF R Dynamic</t>
  </si>
  <si>
    <t>GR25</t>
  </si>
  <si>
    <t>057PJ</t>
  </si>
  <si>
    <t>LAMF</t>
  </si>
  <si>
    <t>Fuel/Power/Drive Badge</t>
  </si>
  <si>
    <t>AFUAA</t>
  </si>
  <si>
    <t>LESS Fuel/Power/Drive Badge</t>
  </si>
  <si>
    <t>F70Z</t>
  </si>
  <si>
    <t>185AA</t>
  </si>
  <si>
    <t>AFUAE</t>
  </si>
  <si>
    <t>P250 Badge</t>
  </si>
  <si>
    <t>F70D</t>
  </si>
  <si>
    <t>185AE</t>
  </si>
  <si>
    <t>AFUAM</t>
  </si>
  <si>
    <t>F70L</t>
  </si>
  <si>
    <t>AFUAY</t>
  </si>
  <si>
    <t>P250 AWD Badge</t>
  </si>
  <si>
    <t>F70X</t>
  </si>
  <si>
    <t>185AY</t>
  </si>
  <si>
    <t>LBAB</t>
  </si>
  <si>
    <t>Lower Bodyside Cladding</t>
  </si>
  <si>
    <t>BMLA2</t>
  </si>
  <si>
    <t>Bodyside Cladding - Chrome</t>
  </si>
  <si>
    <t>B38A</t>
  </si>
  <si>
    <t>080FC</t>
  </si>
  <si>
    <t>BMLBY</t>
  </si>
  <si>
    <t>Bodyside Cladding - Narvik Black</t>
  </si>
  <si>
    <t>B38T</t>
  </si>
  <si>
    <t>080SY</t>
  </si>
  <si>
    <t>LBAC</t>
  </si>
  <si>
    <t>Exterior Side Vents</t>
  </si>
  <si>
    <t>A2RAD</t>
  </si>
  <si>
    <t>Side Vents - Chrome</t>
  </si>
  <si>
    <t>B07C</t>
  </si>
  <si>
    <t>080HM</t>
  </si>
  <si>
    <t>A2RAS</t>
  </si>
  <si>
    <t>Side Vents - Gloss Black</t>
  </si>
  <si>
    <t>B07L</t>
  </si>
  <si>
    <t>080ED</t>
  </si>
  <si>
    <t>LBAZ</t>
  </si>
  <si>
    <t>Chome Finisher - Exterior</t>
  </si>
  <si>
    <t>BLCAA</t>
  </si>
  <si>
    <t>LESS Exterior Chrome Pack</t>
  </si>
  <si>
    <t>G18C</t>
  </si>
  <si>
    <t>057ZK</t>
  </si>
  <si>
    <t>BLCAB</t>
  </si>
  <si>
    <t>Exterior Chrome - Hex</t>
  </si>
  <si>
    <t>G18A</t>
  </si>
  <si>
    <t>057ZL</t>
  </si>
  <si>
    <t>LBEA</t>
  </si>
  <si>
    <t>Front Number Plate Fixing</t>
  </si>
  <si>
    <t>CL8AG</t>
  </si>
  <si>
    <t>Front Number Plate Fixing China</t>
  </si>
  <si>
    <t>F21G</t>
  </si>
  <si>
    <t>057AG</t>
  </si>
  <si>
    <t>LBOB</t>
  </si>
  <si>
    <t>Active Vanes</t>
  </si>
  <si>
    <t>BLHAC</t>
  </si>
  <si>
    <t>Upper/Lower Active Vanes</t>
  </si>
  <si>
    <t>A52B</t>
  </si>
  <si>
    <t>064RA</t>
  </si>
  <si>
    <t>LBPA</t>
  </si>
  <si>
    <t>Roof Racks</t>
  </si>
  <si>
    <t>BLYAA</t>
  </si>
  <si>
    <t>LESS Roof Rack or Rails</t>
  </si>
  <si>
    <t>B16Z</t>
  </si>
  <si>
    <t>060AE</t>
  </si>
  <si>
    <t>LBVA</t>
  </si>
  <si>
    <t>Bumpers - Front</t>
  </si>
  <si>
    <t>CLFDR</t>
  </si>
  <si>
    <t>Bumpers-Noble Chrome Loop</t>
  </si>
  <si>
    <t>BY08</t>
  </si>
  <si>
    <t>080RJ</t>
  </si>
  <si>
    <t>CLFDS</t>
  </si>
  <si>
    <t>Bumpers-Narvik Black Loop</t>
  </si>
  <si>
    <t>BZ08</t>
  </si>
  <si>
    <t>080RK</t>
  </si>
  <si>
    <t>LCGA</t>
  </si>
  <si>
    <t>Side and Rear Glass</t>
  </si>
  <si>
    <t>B2GBS</t>
  </si>
  <si>
    <t>H75P</t>
  </si>
  <si>
    <t>LCGC</t>
  </si>
  <si>
    <t>Window Blinds</t>
  </si>
  <si>
    <t>BC9AC</t>
  </si>
  <si>
    <t>Manual Rear Side Window Blinds</t>
  </si>
  <si>
    <t>H73B</t>
  </si>
  <si>
    <t>112RC</t>
  </si>
  <si>
    <t>BC9AD</t>
  </si>
  <si>
    <t>Electric Rear Side Window Blinds</t>
  </si>
  <si>
    <t>H73C</t>
  </si>
  <si>
    <t>112RB</t>
  </si>
  <si>
    <t>LCGD</t>
  </si>
  <si>
    <t>B3GAB</t>
  </si>
  <si>
    <t>71AB</t>
  </si>
  <si>
    <t>LCGN</t>
  </si>
  <si>
    <t>Roof Blind</t>
  </si>
  <si>
    <t>BEKAA</t>
  </si>
  <si>
    <t>LESS Roof Blind</t>
  </si>
  <si>
    <t>17AA</t>
  </si>
  <si>
    <t>188FA</t>
  </si>
  <si>
    <t>LCGP</t>
  </si>
  <si>
    <t>Solar Attenuating Windscreen</t>
  </si>
  <si>
    <t>B22AA</t>
  </si>
  <si>
    <t>LESS Solar Attenuating Windscreen</t>
  </si>
  <si>
    <t>77AZ</t>
  </si>
  <si>
    <t>047EA</t>
  </si>
  <si>
    <t>LCSC</t>
  </si>
  <si>
    <t>Exterior Trim Surrounds</t>
  </si>
  <si>
    <t>BMFAD</t>
  </si>
  <si>
    <t>Exterior Trim Surrounds-Black</t>
  </si>
  <si>
    <t>D53B</t>
  </si>
  <si>
    <t>081DB</t>
  </si>
  <si>
    <t>BMFAS</t>
  </si>
  <si>
    <t>Exterior Trim Surrounds-Polished Alumn</t>
  </si>
  <si>
    <t>D53N</t>
  </si>
  <si>
    <t>081DG</t>
  </si>
  <si>
    <t>LCUA</t>
  </si>
  <si>
    <t>Door Handles - Exterior</t>
  </si>
  <si>
    <t>CAAA8</t>
  </si>
  <si>
    <t>Door Handles - Atlas/Body Colour</t>
  </si>
  <si>
    <t>F03U</t>
  </si>
  <si>
    <t>080TH</t>
  </si>
  <si>
    <t>CAAAC</t>
  </si>
  <si>
    <t>Door Handles-Body Colour</t>
  </si>
  <si>
    <t>F03B</t>
  </si>
  <si>
    <t>080AW</t>
  </si>
  <si>
    <t>LCUB</t>
  </si>
  <si>
    <t>Headlining Trim Material</t>
  </si>
  <si>
    <t>BA5AG</t>
  </si>
  <si>
    <t>Headlining - Morzine</t>
  </si>
  <si>
    <t>H01E</t>
  </si>
  <si>
    <t>088HH</t>
  </si>
  <si>
    <t>LCWD</t>
  </si>
  <si>
    <t>Exterior Mirror Finish</t>
  </si>
  <si>
    <t>BSLAC</t>
  </si>
  <si>
    <t>Ext Mirror Finish - Body Colour</t>
  </si>
  <si>
    <t>B14B</t>
  </si>
  <si>
    <t>030BS</t>
  </si>
  <si>
    <t>BSLBC</t>
  </si>
  <si>
    <t>Ext Mirror Finish - Dark Satin Grey</t>
  </si>
  <si>
    <t>BH14</t>
  </si>
  <si>
    <t>030DX</t>
  </si>
  <si>
    <t>LCWE</t>
  </si>
  <si>
    <t>Side Sills</t>
  </si>
  <si>
    <t>A3YAA</t>
  </si>
  <si>
    <t>LESS Side Sills</t>
  </si>
  <si>
    <t>B21C</t>
  </si>
  <si>
    <t>080ZT</t>
  </si>
  <si>
    <t>A3YAG</t>
  </si>
  <si>
    <t>Side Sills-BodyColoured</t>
  </si>
  <si>
    <t>B21K</t>
  </si>
  <si>
    <t>080HX</t>
  </si>
  <si>
    <t>LCZA</t>
  </si>
  <si>
    <t>Mirror Parking</t>
  </si>
  <si>
    <t>BSHBR</t>
  </si>
  <si>
    <t>B28U</t>
  </si>
  <si>
    <t>BSHEA</t>
  </si>
  <si>
    <t>Htd/P-Fold/Mm/A-Dm Drv Only/App.Lght Mir</t>
  </si>
  <si>
    <t>B28Z</t>
  </si>
  <si>
    <t>LCZB</t>
  </si>
  <si>
    <t>BSQAA</t>
  </si>
  <si>
    <t>LESS Auto High Beam Assist</t>
  </si>
  <si>
    <t>D91Z</t>
  </si>
  <si>
    <t>030NV</t>
  </si>
  <si>
    <t>BSQAC</t>
  </si>
  <si>
    <t>D91A</t>
  </si>
  <si>
    <t>LDEA</t>
  </si>
  <si>
    <t>Towing Equipment</t>
  </si>
  <si>
    <t>C1NAA</t>
  </si>
  <si>
    <t>LESS Towing Equipment</t>
  </si>
  <si>
    <t>C05Z</t>
  </si>
  <si>
    <t>028EE</t>
  </si>
  <si>
    <t>LDHC</t>
  </si>
  <si>
    <t>Roof Conversion</t>
  </si>
  <si>
    <t>A1GAN</t>
  </si>
  <si>
    <t>F45C</t>
  </si>
  <si>
    <t>LEHA</t>
  </si>
  <si>
    <t>Rear Number Plate Fixing</t>
  </si>
  <si>
    <t>CMBAF</t>
  </si>
  <si>
    <t>Rear Number Plate Fixing China</t>
  </si>
  <si>
    <t>D95E</t>
  </si>
  <si>
    <t>057AH</t>
  </si>
  <si>
    <t>MHEV</t>
  </si>
  <si>
    <t>ENBAA</t>
  </si>
  <si>
    <t>LESS MHEV</t>
  </si>
  <si>
    <t>47BZ</t>
  </si>
  <si>
    <t>085BA</t>
  </si>
  <si>
    <t>MSCS</t>
  </si>
  <si>
    <t>Model Spec - (TL)</t>
  </si>
  <si>
    <t>MSCAB</t>
  </si>
  <si>
    <t>Standard</t>
  </si>
  <si>
    <t>26EB</t>
  </si>
  <si>
    <t>380AB</t>
  </si>
  <si>
    <t>MSCAC</t>
  </si>
  <si>
    <t>S</t>
  </si>
  <si>
    <t>26EC</t>
  </si>
  <si>
    <t>380AC</t>
  </si>
  <si>
    <t>MSCAD</t>
  </si>
  <si>
    <t>SE</t>
  </si>
  <si>
    <t>26ED</t>
  </si>
  <si>
    <t>380AD</t>
  </si>
  <si>
    <t>MSCAL</t>
  </si>
  <si>
    <t>R-Dynamic S</t>
  </si>
  <si>
    <t>26EL</t>
  </si>
  <si>
    <t>380AL</t>
  </si>
  <si>
    <t>MSCAN</t>
  </si>
  <si>
    <t>R-Dynamic HSE</t>
  </si>
  <si>
    <t>26EN</t>
  </si>
  <si>
    <t>380AN</t>
  </si>
  <si>
    <t>MSCV</t>
  </si>
  <si>
    <t>Styling/Version Model Spec</t>
  </si>
  <si>
    <t>Z31DA</t>
  </si>
  <si>
    <t>Styling - Core</t>
  </si>
  <si>
    <t>31DA</t>
  </si>
  <si>
    <t>383AB</t>
  </si>
  <si>
    <t>Z31DB</t>
  </si>
  <si>
    <t>Styling - R-Dynamic</t>
  </si>
  <si>
    <t>31DB</t>
  </si>
  <si>
    <t>383AC</t>
  </si>
  <si>
    <t>NALD</t>
  </si>
  <si>
    <t>Door Latch System</t>
  </si>
  <si>
    <t>CBSAD</t>
  </si>
  <si>
    <t>Double Locking</t>
  </si>
  <si>
    <t>F42B</t>
  </si>
  <si>
    <t>076EI</t>
  </si>
  <si>
    <t>NALF</t>
  </si>
  <si>
    <t>Trunk Entrapment Release Mechanism</t>
  </si>
  <si>
    <t>CAVAA</t>
  </si>
  <si>
    <t>LESS Trunk Entrapment Release Mech</t>
  </si>
  <si>
    <t>D77Z</t>
  </si>
  <si>
    <t>076VV</t>
  </si>
  <si>
    <t>NANA</t>
  </si>
  <si>
    <t>Door Lock Frequency</t>
  </si>
  <si>
    <t>CBLAC</t>
  </si>
  <si>
    <t>434 MHz/non UWB Door Lock Frequency</t>
  </si>
  <si>
    <t>D79A</t>
  </si>
  <si>
    <t>076DF</t>
  </si>
  <si>
    <t>NAPA</t>
  </si>
  <si>
    <t>Security Systems</t>
  </si>
  <si>
    <t>HNAAD</t>
  </si>
  <si>
    <t>Perimetric Protection</t>
  </si>
  <si>
    <t>F09E</t>
  </si>
  <si>
    <t>076DA</t>
  </si>
  <si>
    <t>NATA</t>
  </si>
  <si>
    <t>Battery Back-Up</t>
  </si>
  <si>
    <t>HNHAC</t>
  </si>
  <si>
    <t>Security sounder - No BBUS</t>
  </si>
  <si>
    <t>F11A</t>
  </si>
  <si>
    <t>076ER</t>
  </si>
  <si>
    <t>NBKA</t>
  </si>
  <si>
    <t>Supplementary Heating</t>
  </si>
  <si>
    <t>G2AAF</t>
  </si>
  <si>
    <t>Electric Heater (PTC)</t>
  </si>
  <si>
    <t>H10E</t>
  </si>
  <si>
    <t>043AP</t>
  </si>
  <si>
    <t>NBKD</t>
  </si>
  <si>
    <t>Block Heater</t>
  </si>
  <si>
    <t>DEBAA</t>
  </si>
  <si>
    <t>LESS Engine Block Heater</t>
  </si>
  <si>
    <t>G10Z</t>
  </si>
  <si>
    <t>043BC</t>
  </si>
  <si>
    <t>NBPA</t>
  </si>
  <si>
    <t>Air Conditioning</t>
  </si>
  <si>
    <t>G3AAJ</t>
  </si>
  <si>
    <t>C88G</t>
  </si>
  <si>
    <t>G3AAK</t>
  </si>
  <si>
    <t>C88A</t>
  </si>
  <si>
    <t>NBPF</t>
  </si>
  <si>
    <t>Air Quality Sensing</t>
  </si>
  <si>
    <t>G1DAB</t>
  </si>
  <si>
    <t>C89A</t>
  </si>
  <si>
    <t>NBPG</t>
  </si>
  <si>
    <t>Cabin Air Quality</t>
  </si>
  <si>
    <t>G1VAE</t>
  </si>
  <si>
    <t>J95E</t>
  </si>
  <si>
    <t>NBQA</t>
  </si>
  <si>
    <t>Air Con Refrigerant</t>
  </si>
  <si>
    <t>G3FAC</t>
  </si>
  <si>
    <t>A/C Refrigerant - R134A</t>
  </si>
  <si>
    <t>C91A</t>
  </si>
  <si>
    <t>022CC</t>
  </si>
  <si>
    <t>NBRA</t>
  </si>
  <si>
    <t>Air Con Charge Labels</t>
  </si>
  <si>
    <t>G3HAE</t>
  </si>
  <si>
    <t>Label - A/C Charge - China</t>
  </si>
  <si>
    <t>D89C</t>
  </si>
  <si>
    <t>022DD</t>
  </si>
  <si>
    <t>NBXA</t>
  </si>
  <si>
    <t>Speedometer</t>
  </si>
  <si>
    <t>HDHAL</t>
  </si>
  <si>
    <t>KPH Speedometer</t>
  </si>
  <si>
    <t>F14D</t>
  </si>
  <si>
    <t>038AP</t>
  </si>
  <si>
    <t>NDPA</t>
  </si>
  <si>
    <t>Driver Modes</t>
  </si>
  <si>
    <t>FEFA5</t>
  </si>
  <si>
    <t>B73G</t>
  </si>
  <si>
    <t>FEFA7</t>
  </si>
  <si>
    <t>JDC Winter Mode/Dyn Mode</t>
  </si>
  <si>
    <t>B73J</t>
  </si>
  <si>
    <t>088IL</t>
  </si>
  <si>
    <t>NDPC</t>
  </si>
  <si>
    <t>Apple Carplay</t>
  </si>
  <si>
    <t>IFAAA</t>
  </si>
  <si>
    <t>LESS Apple Carplay</t>
  </si>
  <si>
    <t>G68Z</t>
  </si>
  <si>
    <t>183AA</t>
  </si>
  <si>
    <t>IFAAB</t>
  </si>
  <si>
    <t>G68A</t>
  </si>
  <si>
    <t>NDPD</t>
  </si>
  <si>
    <t>Android Auto</t>
  </si>
  <si>
    <t>IFBAA</t>
  </si>
  <si>
    <t>LESS Android Auto</t>
  </si>
  <si>
    <t>G65Z</t>
  </si>
  <si>
    <t>183CA</t>
  </si>
  <si>
    <t>NDPF</t>
  </si>
  <si>
    <t>Configurable Driver Modes</t>
  </si>
  <si>
    <t>FEHAB</t>
  </si>
  <si>
    <t>G75A</t>
  </si>
  <si>
    <t>NDPK</t>
  </si>
  <si>
    <t>Connected Navigation Data</t>
  </si>
  <si>
    <t>IFDAA</t>
  </si>
  <si>
    <t>LESS Connected Nav Data</t>
  </si>
  <si>
    <t>86AZ</t>
  </si>
  <si>
    <t>183FA</t>
  </si>
  <si>
    <t>IFDAB</t>
  </si>
  <si>
    <t>Connected Nav Data</t>
  </si>
  <si>
    <t>86AB</t>
  </si>
  <si>
    <t>183FB</t>
  </si>
  <si>
    <t>NDPM</t>
  </si>
  <si>
    <t>Baidu Carlife</t>
  </si>
  <si>
    <t>IFFAA</t>
  </si>
  <si>
    <t>LESS Baidu Carlife</t>
  </si>
  <si>
    <t>96AZ</t>
  </si>
  <si>
    <t>183HA</t>
  </si>
  <si>
    <t>IFFAB</t>
  </si>
  <si>
    <t>96AB</t>
  </si>
  <si>
    <t>NDTA</t>
  </si>
  <si>
    <t>Electronic Road Pricing</t>
  </si>
  <si>
    <t>J3GAA</t>
  </si>
  <si>
    <t>LESS Electronic Road Pricing</t>
  </si>
  <si>
    <t>F19Z</t>
  </si>
  <si>
    <t>076EZ</t>
  </si>
  <si>
    <t>NEQA</t>
  </si>
  <si>
    <t>In Car Entertainment / Speakers</t>
  </si>
  <si>
    <t>IDAAV</t>
  </si>
  <si>
    <t>B44V</t>
  </si>
  <si>
    <t>IDAAX</t>
  </si>
  <si>
    <t>B43U</t>
  </si>
  <si>
    <t>IDABA</t>
  </si>
  <si>
    <t>B43T</t>
  </si>
  <si>
    <t>NEQD</t>
  </si>
  <si>
    <t>Infotainment system type</t>
  </si>
  <si>
    <t>ICRAD</t>
  </si>
  <si>
    <t>NGI Head Unit - High</t>
  </si>
  <si>
    <t>G64D</t>
  </si>
  <si>
    <t>025ND</t>
  </si>
  <si>
    <t>ICRAF</t>
  </si>
  <si>
    <t>NGI Head Unit - Mid</t>
  </si>
  <si>
    <t>G64E</t>
  </si>
  <si>
    <t>025NE</t>
  </si>
  <si>
    <t>ICRAG</t>
  </si>
  <si>
    <t>NGI Head Unit - Base</t>
  </si>
  <si>
    <t>G64F</t>
  </si>
  <si>
    <t>025NF</t>
  </si>
  <si>
    <t>ICRAH</t>
  </si>
  <si>
    <t>PIVI - Silver</t>
  </si>
  <si>
    <t>G64G</t>
  </si>
  <si>
    <t>025NG</t>
  </si>
  <si>
    <t>ICRAJ</t>
  </si>
  <si>
    <t>PIVI - Diamond</t>
  </si>
  <si>
    <t>G64H</t>
  </si>
  <si>
    <t>025NH</t>
  </si>
  <si>
    <t>NEQH</t>
  </si>
  <si>
    <t>External Sound (ENG) Enhancemt</t>
  </si>
  <si>
    <t>CWPAA</t>
  </si>
  <si>
    <t>LESS Ext Sound (ENG) Enhancemt</t>
  </si>
  <si>
    <t>D56Z</t>
  </si>
  <si>
    <t>016XX</t>
  </si>
  <si>
    <t>NERD</t>
  </si>
  <si>
    <t>World Tuners</t>
  </si>
  <si>
    <t>ICSAB</t>
  </si>
  <si>
    <t>Single Radio Tuners</t>
  </si>
  <si>
    <t>A43A</t>
  </si>
  <si>
    <t>161AF</t>
  </si>
  <si>
    <t>NFMA</t>
  </si>
  <si>
    <t>Battery</t>
  </si>
  <si>
    <t>HTAAB</t>
  </si>
  <si>
    <t>Standard Battery</t>
  </si>
  <si>
    <t>D71A</t>
  </si>
  <si>
    <t>021AO</t>
  </si>
  <si>
    <t>NFMF</t>
  </si>
  <si>
    <t>Electric Engine Battery</t>
  </si>
  <si>
    <t>HTXAA</t>
  </si>
  <si>
    <t>LESS Electric Engine Battery</t>
  </si>
  <si>
    <t>23AZ</t>
  </si>
  <si>
    <t>021ZZ</t>
  </si>
  <si>
    <t>NFMM</t>
  </si>
  <si>
    <t>JZXAA</t>
  </si>
  <si>
    <t>LESS 2nd Row Wireless Charger</t>
  </si>
  <si>
    <t>97DZ</t>
  </si>
  <si>
    <t>021MA</t>
  </si>
  <si>
    <t>JZXAB</t>
  </si>
  <si>
    <t>97DB</t>
  </si>
  <si>
    <t>NFPA</t>
  </si>
  <si>
    <t>Horn</t>
  </si>
  <si>
    <t>HIAAE</t>
  </si>
  <si>
    <t>Dual Note Electric Horn-Lvl 2</t>
  </si>
  <si>
    <t>F16B</t>
  </si>
  <si>
    <t>076EQ</t>
  </si>
  <si>
    <t>NFQA</t>
  </si>
  <si>
    <t>Day Time Running Lights</t>
  </si>
  <si>
    <t>JBCAB</t>
  </si>
  <si>
    <t>Daytime Running Lamps</t>
  </si>
  <si>
    <t>L82A</t>
  </si>
  <si>
    <t>064BU</t>
  </si>
  <si>
    <t>NFSB</t>
  </si>
  <si>
    <t>Directional Indicators</t>
  </si>
  <si>
    <t>JDNAA</t>
  </si>
  <si>
    <t>LESS Directional Indicators</t>
  </si>
  <si>
    <t>10BZ</t>
  </si>
  <si>
    <t>065FA</t>
  </si>
  <si>
    <t>JDNAB</t>
  </si>
  <si>
    <t>10BB</t>
  </si>
  <si>
    <t>NGNE</t>
  </si>
  <si>
    <t>Sensor - Occupant</t>
  </si>
  <si>
    <t>CP5AB</t>
  </si>
  <si>
    <t>Sensor Occupant (ROW) with PACOS)</t>
  </si>
  <si>
    <t>F10A</t>
  </si>
  <si>
    <t>030NW</t>
  </si>
  <si>
    <t>NGPA</t>
  </si>
  <si>
    <t>Glove Box</t>
  </si>
  <si>
    <t>B5GAB</t>
  </si>
  <si>
    <t>B23H</t>
  </si>
  <si>
    <t>NGVZ</t>
  </si>
  <si>
    <t>Garage Door Opener (umbrella)</t>
  </si>
  <si>
    <t>ZB39Z</t>
  </si>
  <si>
    <t>LESS Garage Door Opener(Homelink)</t>
  </si>
  <si>
    <t>B39Z</t>
  </si>
  <si>
    <t>025CW</t>
  </si>
  <si>
    <t>NGWE</t>
  </si>
  <si>
    <t>Garage Door Opener</t>
  </si>
  <si>
    <t>IGDAA</t>
  </si>
  <si>
    <t>LESS Garage Door Opener</t>
  </si>
  <si>
    <t>B20Z</t>
  </si>
  <si>
    <t>025FW</t>
  </si>
  <si>
    <t>NGWF</t>
  </si>
  <si>
    <t>JLR Voice</t>
  </si>
  <si>
    <t>IF9AB</t>
  </si>
  <si>
    <t>Voice Control</t>
  </si>
  <si>
    <t>P52R</t>
  </si>
  <si>
    <t>025EZ</t>
  </si>
  <si>
    <t>NGWI</t>
  </si>
  <si>
    <t>Telematics Module</t>
  </si>
  <si>
    <t>CCAR</t>
  </si>
  <si>
    <t>IEKAM</t>
  </si>
  <si>
    <t>Telematics TCU Module - China</t>
  </si>
  <si>
    <t>B79D</t>
  </si>
  <si>
    <t>025QL</t>
  </si>
  <si>
    <t>NGWL</t>
  </si>
  <si>
    <t>Telematics Systems</t>
  </si>
  <si>
    <t>HKKAF</t>
  </si>
  <si>
    <t>SOS/Assistance Call</t>
  </si>
  <si>
    <t>G60A</t>
  </si>
  <si>
    <t>025QF</t>
  </si>
  <si>
    <t>NGWM</t>
  </si>
  <si>
    <t>Online Pack</t>
  </si>
  <si>
    <t>IEXAA</t>
  </si>
  <si>
    <t>LESS Online Pack</t>
  </si>
  <si>
    <t>A44Z</t>
  </si>
  <si>
    <t>025RA</t>
  </si>
  <si>
    <t>IEXAM</t>
  </si>
  <si>
    <t>A44L</t>
  </si>
  <si>
    <t>NGWP</t>
  </si>
  <si>
    <t>Secure Telematic Pack</t>
  </si>
  <si>
    <t>ZD44Z</t>
  </si>
  <si>
    <t>LESS InControl Secure Subscription</t>
  </si>
  <si>
    <t>D44Z</t>
  </si>
  <si>
    <t>011AH</t>
  </si>
  <si>
    <t>NGWR</t>
  </si>
  <si>
    <t>In Control Telematic Pack</t>
  </si>
  <si>
    <t>ZD45E</t>
  </si>
  <si>
    <t>D45E</t>
  </si>
  <si>
    <t>NGWU</t>
  </si>
  <si>
    <t>InControl Packs</t>
  </si>
  <si>
    <t>ZZ77Z</t>
  </si>
  <si>
    <t>LESS InControl Pack</t>
  </si>
  <si>
    <t>Z77Z</t>
  </si>
  <si>
    <t>011CC</t>
  </si>
  <si>
    <t>NGWV</t>
  </si>
  <si>
    <t>InControl Remote Premium</t>
  </si>
  <si>
    <t>ZD47A</t>
  </si>
  <si>
    <t>InControl Remote Premium for Warranty</t>
  </si>
  <si>
    <t>D47A</t>
  </si>
  <si>
    <t>011DA</t>
  </si>
  <si>
    <t>NGWY</t>
  </si>
  <si>
    <t>Wi-Fi</t>
  </si>
  <si>
    <t>IFJAA</t>
  </si>
  <si>
    <t>LESS Wi-Fi</t>
  </si>
  <si>
    <t>17DZ</t>
  </si>
  <si>
    <t>025SF</t>
  </si>
  <si>
    <t>IFJAC</t>
  </si>
  <si>
    <t>17DC</t>
  </si>
  <si>
    <t>NGWZ</t>
  </si>
  <si>
    <t>CE Wireless Device Charging</t>
  </si>
  <si>
    <t>Z71BC</t>
  </si>
  <si>
    <t>71BC</t>
  </si>
  <si>
    <t>Z71BZ</t>
  </si>
  <si>
    <t>LESS Wireless Charger</t>
  </si>
  <si>
    <t>71BZ</t>
  </si>
  <si>
    <t>026JA</t>
  </si>
  <si>
    <t>NGZM</t>
  </si>
  <si>
    <t>Touchscreen</t>
  </si>
  <si>
    <t>HJGAU</t>
  </si>
  <si>
    <t>Infotainment Screen 11.4"</t>
  </si>
  <si>
    <t>D70F</t>
  </si>
  <si>
    <t>087AW</t>
  </si>
  <si>
    <t>NHHB</t>
  </si>
  <si>
    <t>Configuration PowerPack</t>
  </si>
  <si>
    <t>Z14DD</t>
  </si>
  <si>
    <t>PowerPack 04</t>
  </si>
  <si>
    <t>14DD</t>
  </si>
  <si>
    <t>054EE</t>
  </si>
  <si>
    <t>Z14DF</t>
  </si>
  <si>
    <t>PowerPack 06</t>
  </si>
  <si>
    <t>14DF</t>
  </si>
  <si>
    <t>054EG</t>
  </si>
  <si>
    <t>Z14DG</t>
  </si>
  <si>
    <t>PowerPack 07</t>
  </si>
  <si>
    <t>14DG</t>
  </si>
  <si>
    <t>054EH</t>
  </si>
  <si>
    <t>Z14DJ</t>
  </si>
  <si>
    <t>PowerPack 09</t>
  </si>
  <si>
    <t>14DJ</t>
  </si>
  <si>
    <t>054EK</t>
  </si>
  <si>
    <t>NHTA</t>
  </si>
  <si>
    <t>Television (Umbrella)</t>
  </si>
  <si>
    <t>IESAA</t>
  </si>
  <si>
    <t>No Onboard TV</t>
  </si>
  <si>
    <t>G61Z</t>
  </si>
  <si>
    <t>129AC</t>
  </si>
  <si>
    <t>NHTE</t>
  </si>
  <si>
    <t>Television</t>
  </si>
  <si>
    <t>HKEAA</t>
  </si>
  <si>
    <t>LESS TV Receiver</t>
  </si>
  <si>
    <t>G52Z</t>
  </si>
  <si>
    <t>129ZZ</t>
  </si>
  <si>
    <t>NHUA</t>
  </si>
  <si>
    <t>Navigation Systems</t>
  </si>
  <si>
    <t>HKCAA</t>
  </si>
  <si>
    <t>LESS Navigation System</t>
  </si>
  <si>
    <t>G56Z</t>
  </si>
  <si>
    <t>025EC</t>
  </si>
  <si>
    <t>HKCBA</t>
  </si>
  <si>
    <t>Navigation China</t>
  </si>
  <si>
    <t>G61A</t>
  </si>
  <si>
    <t>025OF</t>
  </si>
  <si>
    <t>NHUF</t>
  </si>
  <si>
    <t>Navigation Mapping</t>
  </si>
  <si>
    <t>HKHA8</t>
  </si>
  <si>
    <t>Nav - Reg 7 North Asia</t>
  </si>
  <si>
    <t>G59X</t>
  </si>
  <si>
    <t>087XS</t>
  </si>
  <si>
    <t>HKHAA</t>
  </si>
  <si>
    <t>LESS Navigation Data</t>
  </si>
  <si>
    <t>G59Z</t>
  </si>
  <si>
    <t>087XA</t>
  </si>
  <si>
    <t>NHUG</t>
  </si>
  <si>
    <t>Infotainment</t>
  </si>
  <si>
    <t>IEPAA</t>
  </si>
  <si>
    <t>LESS InControl Apps</t>
  </si>
  <si>
    <t>H57B</t>
  </si>
  <si>
    <t>025PE</t>
  </si>
  <si>
    <t>NHUK</t>
  </si>
  <si>
    <t>DVD Player</t>
  </si>
  <si>
    <t>IBSAA</t>
  </si>
  <si>
    <t>LESS DVD Player</t>
  </si>
  <si>
    <t>G54Z</t>
  </si>
  <si>
    <t>025AG</t>
  </si>
  <si>
    <t>NHUL</t>
  </si>
  <si>
    <t>Connected Services</t>
  </si>
  <si>
    <t>AARAA</t>
  </si>
  <si>
    <t>LESS Connected Services</t>
  </si>
  <si>
    <t>A46Z</t>
  </si>
  <si>
    <t>036AA</t>
  </si>
  <si>
    <t>AARAL</t>
  </si>
  <si>
    <t>China 3YR Connected Service Pack</t>
  </si>
  <si>
    <t>A46C</t>
  </si>
  <si>
    <t>036AD</t>
  </si>
  <si>
    <t>NIKC</t>
  </si>
  <si>
    <t>Auxiliary Power Socket/USB</t>
  </si>
  <si>
    <t>J3EAB</t>
  </si>
  <si>
    <t>Auxiliary Power Socket</t>
  </si>
  <si>
    <t>D72A</t>
  </si>
  <si>
    <t>054AC</t>
  </si>
  <si>
    <t>J3EAH</t>
  </si>
  <si>
    <t>D72B</t>
  </si>
  <si>
    <t>NIRB</t>
  </si>
  <si>
    <t>Interior Light Package</t>
  </si>
  <si>
    <t>JCBAS</t>
  </si>
  <si>
    <t>B65E</t>
  </si>
  <si>
    <t>NJTA</t>
  </si>
  <si>
    <t>Heated Front Windscreen</t>
  </si>
  <si>
    <t>B3MAA</t>
  </si>
  <si>
    <t>LESS Heated Front Windscreen</t>
  </si>
  <si>
    <t>D96Z</t>
  </si>
  <si>
    <t>040AJ</t>
  </si>
  <si>
    <t>NKIA</t>
  </si>
  <si>
    <t>Air Cleaners</t>
  </si>
  <si>
    <t>DKAAB</t>
  </si>
  <si>
    <t>Air Cleaner- Dry /Single Stage</t>
  </si>
  <si>
    <t>A87A</t>
  </si>
  <si>
    <t>130AB</t>
  </si>
  <si>
    <t>NKKB</t>
  </si>
  <si>
    <t>Instrument Cluster</t>
  </si>
  <si>
    <t>HCAAW</t>
  </si>
  <si>
    <t>P50S</t>
  </si>
  <si>
    <t>HCAAX</t>
  </si>
  <si>
    <t>P50T</t>
  </si>
  <si>
    <t>NKKC</t>
  </si>
  <si>
    <t>Head Up Display</t>
  </si>
  <si>
    <t>JASAA</t>
  </si>
  <si>
    <t>LESS Head Up Display</t>
  </si>
  <si>
    <t>G62Z</t>
  </si>
  <si>
    <t>039IA</t>
  </si>
  <si>
    <t>JASAB</t>
  </si>
  <si>
    <t>G62A</t>
  </si>
  <si>
    <t>NLHA</t>
  </si>
  <si>
    <t>IP Insert</t>
  </si>
  <si>
    <t>BBQBW</t>
  </si>
  <si>
    <t>IP Insert - Morse Code</t>
  </si>
  <si>
    <t>B71M</t>
  </si>
  <si>
    <t>063BK</t>
  </si>
  <si>
    <t>NLJH</t>
  </si>
  <si>
    <t>ZZ29Z</t>
  </si>
  <si>
    <t>LESS Convenience Pack</t>
  </si>
  <si>
    <t>Z29Z</t>
  </si>
  <si>
    <t>017GZ</t>
  </si>
  <si>
    <t>NLJL</t>
  </si>
  <si>
    <t>Technology Packs</t>
  </si>
  <si>
    <t>ZZ80T</t>
  </si>
  <si>
    <t>Z80T</t>
  </si>
  <si>
    <t>ZZ80Z</t>
  </si>
  <si>
    <t>LESS Technology Pack</t>
  </si>
  <si>
    <t>Z80Z</t>
  </si>
  <si>
    <t>074PU</t>
  </si>
  <si>
    <t>NLKA</t>
  </si>
  <si>
    <t>Climate Pack</t>
  </si>
  <si>
    <t>ZZ88Z</t>
  </si>
  <si>
    <t>No Climate Pack</t>
  </si>
  <si>
    <t>Z88Z</t>
  </si>
  <si>
    <t>017CB</t>
  </si>
  <si>
    <t>NLKB</t>
  </si>
  <si>
    <t>Comfort Pack</t>
  </si>
  <si>
    <t>ZZ19Z</t>
  </si>
  <si>
    <t>No Comfort Pack</t>
  </si>
  <si>
    <t>Z19Z</t>
  </si>
  <si>
    <t>017CD</t>
  </si>
  <si>
    <t>NLKC</t>
  </si>
  <si>
    <t>Convenience Pack 2</t>
  </si>
  <si>
    <t>ZZ28A</t>
  </si>
  <si>
    <t>Z28A</t>
  </si>
  <si>
    <t>ZZ28Z</t>
  </si>
  <si>
    <t>LESS Convenience Pack 1</t>
  </si>
  <si>
    <t>Z28Z</t>
  </si>
  <si>
    <t>017CF</t>
  </si>
  <si>
    <t>NLKE</t>
  </si>
  <si>
    <t>Memory Pack 1</t>
  </si>
  <si>
    <t>ZZ15Z</t>
  </si>
  <si>
    <t>LESS Memory Pack</t>
  </si>
  <si>
    <t>Z15Z</t>
  </si>
  <si>
    <t>017CK</t>
  </si>
  <si>
    <t>NLKF</t>
  </si>
  <si>
    <t>Safety Packs</t>
  </si>
  <si>
    <t>ZZ76Z</t>
  </si>
  <si>
    <t>LESS Safety Pack</t>
  </si>
  <si>
    <t>Z76Z</t>
  </si>
  <si>
    <t>017CN</t>
  </si>
  <si>
    <t>NLKG</t>
  </si>
  <si>
    <t>Parking Packs</t>
  </si>
  <si>
    <t>ZZ69I</t>
  </si>
  <si>
    <t>LESS Parking Packs</t>
  </si>
  <si>
    <t>Z69I</t>
  </si>
  <si>
    <t>017CR</t>
  </si>
  <si>
    <t>NLKH</t>
  </si>
  <si>
    <t>Ground Clearance</t>
  </si>
  <si>
    <t>DWEAC</t>
  </si>
  <si>
    <t>Ground Clearance - Standard</t>
  </si>
  <si>
    <t>H43A</t>
  </si>
  <si>
    <t>017CU</t>
  </si>
  <si>
    <t>NLKK</t>
  </si>
  <si>
    <t>Navigation Pack</t>
  </si>
  <si>
    <t>ZZ58Z</t>
  </si>
  <si>
    <t>LESS Navigation Package</t>
  </si>
  <si>
    <t>Z58Z</t>
  </si>
  <si>
    <t>017DC</t>
  </si>
  <si>
    <t>NLKP</t>
  </si>
  <si>
    <t>Business Packs</t>
  </si>
  <si>
    <t>ZZ04Z</t>
  </si>
  <si>
    <t>LESS Business Pack</t>
  </si>
  <si>
    <t>Z04Z</t>
  </si>
  <si>
    <t>017DJ</t>
  </si>
  <si>
    <t>NLKT</t>
  </si>
  <si>
    <t>Vision Pack</t>
  </si>
  <si>
    <t>ZZ86Z</t>
  </si>
  <si>
    <t>LESS Vision Assist Pack</t>
  </si>
  <si>
    <t>Z86Z</t>
  </si>
  <si>
    <t>017EL</t>
  </si>
  <si>
    <t>NLKU</t>
  </si>
  <si>
    <t>Head-Up Display Pack</t>
  </si>
  <si>
    <t>ZZ13Z</t>
  </si>
  <si>
    <t>LESS Head-Up Display Pack</t>
  </si>
  <si>
    <t>Z13Z</t>
  </si>
  <si>
    <t>017FH</t>
  </si>
  <si>
    <t>NLKV</t>
  </si>
  <si>
    <t>Rear Comfort Pack</t>
  </si>
  <si>
    <t>ZZ12Z</t>
  </si>
  <si>
    <t>LESS Rear Comfort Pack</t>
  </si>
  <si>
    <t>Z12Z</t>
  </si>
  <si>
    <t>017FM</t>
  </si>
  <si>
    <t>NLKW</t>
  </si>
  <si>
    <t>MENA Packs</t>
  </si>
  <si>
    <t>ZZ16Z</t>
  </si>
  <si>
    <t>LESS MENA Edition Pack</t>
  </si>
  <si>
    <t>Z16Z</t>
  </si>
  <si>
    <t>017FR</t>
  </si>
  <si>
    <t>NLKX</t>
  </si>
  <si>
    <t>Premium Pack</t>
  </si>
  <si>
    <t>ZZ61V</t>
  </si>
  <si>
    <t>Premium Interior Upgrade Pack</t>
  </si>
  <si>
    <t>Z61V</t>
  </si>
  <si>
    <t>ZZ61Z</t>
  </si>
  <si>
    <t>LESS Premium Pack</t>
  </si>
  <si>
    <t>Z61Z</t>
  </si>
  <si>
    <t>017HB</t>
  </si>
  <si>
    <t>NLLD</t>
  </si>
  <si>
    <t>Fleet and Business Pack</t>
  </si>
  <si>
    <t>ZZ26B</t>
  </si>
  <si>
    <t>Z26B</t>
  </si>
  <si>
    <t>ZZ26Z</t>
  </si>
  <si>
    <t>LESS Fleet and Business Pack</t>
  </si>
  <si>
    <t>Z26Z</t>
  </si>
  <si>
    <t>017LZ</t>
  </si>
  <si>
    <t>NLMH</t>
  </si>
  <si>
    <t>ADAS Drive Packs</t>
  </si>
  <si>
    <t>ZZ79D</t>
  </si>
  <si>
    <t>LESS Drive Pack</t>
  </si>
  <si>
    <t>Z79D</t>
  </si>
  <si>
    <t>017TC</t>
  </si>
  <si>
    <t>ZZ79E</t>
  </si>
  <si>
    <t>Z79E</t>
  </si>
  <si>
    <t>NLMJ</t>
  </si>
  <si>
    <t>ADAS Park Pack</t>
  </si>
  <si>
    <t>ZZ83C</t>
  </si>
  <si>
    <t>LESS Park Pack</t>
  </si>
  <si>
    <t>Z83C</t>
  </si>
  <si>
    <t>017UC</t>
  </si>
  <si>
    <t>ZZ83D</t>
  </si>
  <si>
    <t>Z83D</t>
  </si>
  <si>
    <t>NSKB</t>
  </si>
  <si>
    <t>ZZNAB</t>
  </si>
  <si>
    <t>G76B</t>
  </si>
  <si>
    <t>ZZNAD</t>
  </si>
  <si>
    <t>G76D</t>
  </si>
  <si>
    <t>PAKA</t>
  </si>
  <si>
    <t>Emission Directives</t>
  </si>
  <si>
    <t>DGADF</t>
  </si>
  <si>
    <t>China N6B (Petrol)-Monitoring</t>
  </si>
  <si>
    <t>A85N</t>
  </si>
  <si>
    <t>053CV</t>
  </si>
  <si>
    <t>PAKB</t>
  </si>
  <si>
    <t>Emission Label</t>
  </si>
  <si>
    <t>AF6AA</t>
  </si>
  <si>
    <t>LESS Emission Label</t>
  </si>
  <si>
    <t>27BZ</t>
  </si>
  <si>
    <t>053FA</t>
  </si>
  <si>
    <t>PAUA</t>
  </si>
  <si>
    <t>GTDAB</t>
  </si>
  <si>
    <t>H41C</t>
  </si>
  <si>
    <t>GTDAR</t>
  </si>
  <si>
    <t>H41L</t>
  </si>
  <si>
    <t>PBCG</t>
  </si>
  <si>
    <t>Engine Cooling Fan</t>
  </si>
  <si>
    <t>DAYAR</t>
  </si>
  <si>
    <t>Engine Cooling Fan 400W</t>
  </si>
  <si>
    <t>S55B</t>
  </si>
  <si>
    <t>121AF</t>
  </si>
  <si>
    <t>PBCJ</t>
  </si>
  <si>
    <t>Starter System</t>
  </si>
  <si>
    <t>DECAU</t>
  </si>
  <si>
    <t>Starter System - Stop/Start</t>
  </si>
  <si>
    <t>H58A</t>
  </si>
  <si>
    <t>040AU</t>
  </si>
  <si>
    <t>PBCK</t>
  </si>
  <si>
    <t>Keyless Start / Entry</t>
  </si>
  <si>
    <t>CBGAJ</t>
  </si>
  <si>
    <t>Push Button Start</t>
  </si>
  <si>
    <t>F04C</t>
  </si>
  <si>
    <t>066AA</t>
  </si>
  <si>
    <t>CBGAL</t>
  </si>
  <si>
    <t>F04B</t>
  </si>
  <si>
    <t>PBCM</t>
  </si>
  <si>
    <t>Leisure Activity Key</t>
  </si>
  <si>
    <t>CCAAA</t>
  </si>
  <si>
    <t>LESS Leisure Activity Key</t>
  </si>
  <si>
    <t>F05Y</t>
  </si>
  <si>
    <t>066CZ</t>
  </si>
  <si>
    <t>PBCN</t>
  </si>
  <si>
    <t>Tractability Enhancement</t>
  </si>
  <si>
    <t>FKFAA</t>
  </si>
  <si>
    <t>LESS Tractability Enhancement</t>
  </si>
  <si>
    <t>13BZ</t>
  </si>
  <si>
    <t>132BA</t>
  </si>
  <si>
    <t>FKFAB</t>
  </si>
  <si>
    <t>Reduced Tractability Enhancement</t>
  </si>
  <si>
    <t>13BA</t>
  </si>
  <si>
    <t>132BB</t>
  </si>
  <si>
    <t>PBHA</t>
  </si>
  <si>
    <t>Drive - 4Wheel / 2Wheel</t>
  </si>
  <si>
    <t>DTAAB</t>
  </si>
  <si>
    <t>All Wheel Drive</t>
  </si>
  <si>
    <t>A60T</t>
  </si>
  <si>
    <t>109AA</t>
  </si>
  <si>
    <t>DTAAC</t>
  </si>
  <si>
    <t>Rear Wheel Drive</t>
  </si>
  <si>
    <t>A60R</t>
  </si>
  <si>
    <t>109AE</t>
  </si>
  <si>
    <t>PBUB</t>
  </si>
  <si>
    <t>Exterior Badge Colour</t>
  </si>
  <si>
    <t>EGEAB</t>
  </si>
  <si>
    <t>Silver Badge Colour</t>
  </si>
  <si>
    <t>D12B</t>
  </si>
  <si>
    <t>069CB</t>
  </si>
  <si>
    <t>EGEAC</t>
  </si>
  <si>
    <t>Black Badge Colour</t>
  </si>
  <si>
    <t>D12C</t>
  </si>
  <si>
    <t>069CC</t>
  </si>
  <si>
    <t>PCBA</t>
  </si>
  <si>
    <t>Fuel Type</t>
  </si>
  <si>
    <t>GBVAF</t>
  </si>
  <si>
    <t>Unleaded Fuel</t>
  </si>
  <si>
    <t>C73B</t>
  </si>
  <si>
    <t>103AH</t>
  </si>
  <si>
    <t>PCKB</t>
  </si>
  <si>
    <t>Transmission Calibration</t>
  </si>
  <si>
    <t>FLTAA</t>
  </si>
  <si>
    <t>LESS Transmission Calibration</t>
  </si>
  <si>
    <t>61BZ</t>
  </si>
  <si>
    <t>078FA</t>
  </si>
  <si>
    <t>FLTAC</t>
  </si>
  <si>
    <t>N6 Transmission Calibration</t>
  </si>
  <si>
    <t>61BC</t>
  </si>
  <si>
    <t>078FC</t>
  </si>
  <si>
    <t>PDAC</t>
  </si>
  <si>
    <t>Service Interval (Time)</t>
  </si>
  <si>
    <t>AJCAC</t>
  </si>
  <si>
    <t>Service Interval 12 Months</t>
  </si>
  <si>
    <t>24BC</t>
  </si>
  <si>
    <t>056DC</t>
  </si>
  <si>
    <t>PDAD</t>
  </si>
  <si>
    <t>Service Interval (Distance)</t>
  </si>
  <si>
    <t>AJBAE</t>
  </si>
  <si>
    <t>Service Distance 10,000 km</t>
  </si>
  <si>
    <t>25BC</t>
  </si>
  <si>
    <t>056EC</t>
  </si>
  <si>
    <t>PDKD</t>
  </si>
  <si>
    <t>Damping Actuators</t>
  </si>
  <si>
    <t>DWMAA</t>
  </si>
  <si>
    <t>LESS Adaptive Damping(passive)</t>
  </si>
  <si>
    <t>C35Z</t>
  </si>
  <si>
    <t>027CZ</t>
  </si>
  <si>
    <t>DWMAC</t>
  </si>
  <si>
    <t>C35A</t>
  </si>
  <si>
    <t>PDUB</t>
  </si>
  <si>
    <t>Fuel Tank</t>
  </si>
  <si>
    <t>GBACR</t>
  </si>
  <si>
    <t>Tank Pet w/ Leak Detection Large Filter</t>
  </si>
  <si>
    <t>E05H</t>
  </si>
  <si>
    <t>046AQ</t>
  </si>
  <si>
    <t>PELB</t>
  </si>
  <si>
    <t>Engine Power/Torque Rating</t>
  </si>
  <si>
    <t>C2EA5</t>
  </si>
  <si>
    <t>Engine Power Source - 200/320</t>
  </si>
  <si>
    <t>S52H</t>
  </si>
  <si>
    <t>152AW</t>
  </si>
  <si>
    <t>C2EBL</t>
  </si>
  <si>
    <t>Engine Power Source - 250/365</t>
  </si>
  <si>
    <t>S52Z</t>
  </si>
  <si>
    <t>152AO</t>
  </si>
  <si>
    <t>C2EBM</t>
  </si>
  <si>
    <t>Engine Power Source - 300/400</t>
  </si>
  <si>
    <t>S52R</t>
  </si>
  <si>
    <t>152CN</t>
  </si>
  <si>
    <t>PRAA</t>
  </si>
  <si>
    <t>Product Range</t>
  </si>
  <si>
    <t>PRDT</t>
  </si>
  <si>
    <t>300SX</t>
  </si>
  <si>
    <t>RACA</t>
  </si>
  <si>
    <t>Literature Packs</t>
  </si>
  <si>
    <t>COMM</t>
  </si>
  <si>
    <t>AEDB9</t>
  </si>
  <si>
    <t>Chinese Simplified Lit Pack</t>
  </si>
  <si>
    <t>L59A</t>
  </si>
  <si>
    <t>002CL</t>
  </si>
  <si>
    <t>RALE</t>
  </si>
  <si>
    <t>HLSAA</t>
  </si>
  <si>
    <t>LESS Clear Exit Detection</t>
  </si>
  <si>
    <t>F20A</t>
  </si>
  <si>
    <t>074QQ</t>
  </si>
  <si>
    <t>HLSAB</t>
  </si>
  <si>
    <t>F20B</t>
  </si>
  <si>
    <t>RARE</t>
  </si>
  <si>
    <t>X260 CJV Derivative Packs (DPACKS)</t>
  </si>
  <si>
    <t>DPCK</t>
  </si>
  <si>
    <t>Z08ZG</t>
  </si>
  <si>
    <t>Standard 200PS Auto CJV</t>
  </si>
  <si>
    <t>08ZG</t>
  </si>
  <si>
    <t>260NG</t>
  </si>
  <si>
    <t>Z09ZG</t>
  </si>
  <si>
    <t>S 250PS Auto CJV</t>
  </si>
  <si>
    <t>09ZG</t>
  </si>
  <si>
    <t>260NH</t>
  </si>
  <si>
    <t>Z10ZG</t>
  </si>
  <si>
    <t>SE 250PS Auto CJV</t>
  </si>
  <si>
    <t>10ZG</t>
  </si>
  <si>
    <t>260NJ</t>
  </si>
  <si>
    <t>Z11ZG</t>
  </si>
  <si>
    <t>R-Dynamic S 250PS Auto CJV</t>
  </si>
  <si>
    <t>11ZG</t>
  </si>
  <si>
    <t>260NK</t>
  </si>
  <si>
    <t>Z12ZG</t>
  </si>
  <si>
    <t>R-Dynamic HSE 300PS Auto CJV</t>
  </si>
  <si>
    <t>12ZG</t>
  </si>
  <si>
    <t>260NL</t>
  </si>
  <si>
    <t>RBQA</t>
  </si>
  <si>
    <t>Special Instructions</t>
  </si>
  <si>
    <t>AADAA</t>
  </si>
  <si>
    <t>LESS Special Build Requirement</t>
  </si>
  <si>
    <t>X01Z</t>
  </si>
  <si>
    <t>068AC</t>
  </si>
  <si>
    <t>AADAD</t>
  </si>
  <si>
    <t>Show Finish A</t>
  </si>
  <si>
    <t>X01A</t>
  </si>
  <si>
    <t>068AA</t>
  </si>
  <si>
    <t>AADAE</t>
  </si>
  <si>
    <t>Show Finish B</t>
  </si>
  <si>
    <t>X01B</t>
  </si>
  <si>
    <t>069AV</t>
  </si>
  <si>
    <t>RCSA</t>
  </si>
  <si>
    <t>KD Specifications</t>
  </si>
  <si>
    <t>KNUM</t>
  </si>
  <si>
    <t>Z9999</t>
  </si>
  <si>
    <t>LESS KD Spec</t>
  </si>
  <si>
    <t>K9999</t>
  </si>
  <si>
    <t>RGKF</t>
  </si>
  <si>
    <t>Camera Systems</t>
  </si>
  <si>
    <t>J3KAB</t>
  </si>
  <si>
    <t>C14A</t>
  </si>
  <si>
    <t>J3KAP</t>
  </si>
  <si>
    <t>C14H</t>
  </si>
  <si>
    <t>RGKH</t>
  </si>
  <si>
    <t>Blind Spot Monitoring</t>
  </si>
  <si>
    <t>HLLAA</t>
  </si>
  <si>
    <t>LESS Blindspot information system</t>
  </si>
  <si>
    <t>H71Z</t>
  </si>
  <si>
    <t>086ZZ</t>
  </si>
  <si>
    <t>HLLAG</t>
  </si>
  <si>
    <t>H71E</t>
  </si>
  <si>
    <t>RGKJ</t>
  </si>
  <si>
    <t>Lane Control</t>
  </si>
  <si>
    <t>HLEAH</t>
  </si>
  <si>
    <t>H72G</t>
  </si>
  <si>
    <t>RGKL</t>
  </si>
  <si>
    <t>Traffic Sign Recognition</t>
  </si>
  <si>
    <t>HLQAA</t>
  </si>
  <si>
    <t>LESS Traffic Sign Recognition</t>
  </si>
  <si>
    <t>A41Z</t>
  </si>
  <si>
    <t>086DA</t>
  </si>
  <si>
    <t>HLQAC</t>
  </si>
  <si>
    <t>A41B</t>
  </si>
  <si>
    <t>RGKM</t>
  </si>
  <si>
    <t>Forward Facing Camera</t>
  </si>
  <si>
    <t>J3RAB</t>
  </si>
  <si>
    <t>C15A</t>
  </si>
  <si>
    <t>086IB</t>
  </si>
  <si>
    <t>RGKP</t>
  </si>
  <si>
    <t>Reverse Traffic Detection</t>
  </si>
  <si>
    <t>HLVAA</t>
  </si>
  <si>
    <t>LESS Reverse Traffic Detection</t>
  </si>
  <si>
    <t>A47Z</t>
  </si>
  <si>
    <t>086KA</t>
  </si>
  <si>
    <t>HLVAD</t>
  </si>
  <si>
    <t>A47C</t>
  </si>
  <si>
    <t>RGKT</t>
  </si>
  <si>
    <t>Parking Sensors</t>
  </si>
  <si>
    <t>HNXAE</t>
  </si>
  <si>
    <t>21AD</t>
  </si>
  <si>
    <t>RGKV</t>
  </si>
  <si>
    <t>HNYAA</t>
  </si>
  <si>
    <t>LESS Park Assist</t>
  </si>
  <si>
    <t>64AZ</t>
  </si>
  <si>
    <t>086MA</t>
  </si>
  <si>
    <t>HNYAC</t>
  </si>
  <si>
    <t>64AC</t>
  </si>
  <si>
    <t>RGKW</t>
  </si>
  <si>
    <t>Rear Pre-Crash</t>
  </si>
  <si>
    <t>FBMAA</t>
  </si>
  <si>
    <t>LESS Rear Pre-Crash</t>
  </si>
  <si>
    <t>68AZ</t>
  </si>
  <si>
    <t>086NA</t>
  </si>
  <si>
    <t>FBMAB</t>
  </si>
  <si>
    <t>68AB</t>
  </si>
  <si>
    <t>RHAC</t>
  </si>
  <si>
    <t>Digital Radio Receiver</t>
  </si>
  <si>
    <t>IBYAB</t>
  </si>
  <si>
    <t>Analogue Radio Reception</t>
  </si>
  <si>
    <t>B51E</t>
  </si>
  <si>
    <t>025KO</t>
  </si>
  <si>
    <t>ZZAA</t>
  </si>
  <si>
    <t>Warning Triangle</t>
  </si>
  <si>
    <t>AHHAB</t>
  </si>
  <si>
    <t>F29A</t>
  </si>
  <si>
    <t>056AY</t>
  </si>
  <si>
    <t>ZZAB</t>
  </si>
  <si>
    <t>First Aid Kit</t>
  </si>
  <si>
    <t>AHQAA</t>
  </si>
  <si>
    <t>LESS First Aid Kit</t>
  </si>
  <si>
    <t>C12Z</t>
  </si>
  <si>
    <t>056AA</t>
  </si>
  <si>
    <t>ZZSB</t>
  </si>
  <si>
    <t>Exterior Mirrors</t>
  </si>
  <si>
    <t>BSPAC</t>
  </si>
  <si>
    <t>External mirrors convex</t>
  </si>
  <si>
    <t>B37A</t>
  </si>
  <si>
    <t>031BG</t>
  </si>
  <si>
    <t>ZZSF</t>
  </si>
  <si>
    <t>Transit Protection</t>
  </si>
  <si>
    <t>AAJAD</t>
  </si>
  <si>
    <t>Vehicle Protection Cat 2</t>
  </si>
  <si>
    <t>A61B</t>
  </si>
  <si>
    <t>077BB</t>
  </si>
  <si>
    <t>ZZSZ</t>
  </si>
  <si>
    <t>Air Bag Labels</t>
  </si>
  <si>
    <t>CPYAK</t>
  </si>
  <si>
    <t>Air bag label - Chinese</t>
  </si>
  <si>
    <t>D84G</t>
  </si>
  <si>
    <t>096TD</t>
  </si>
  <si>
    <t>ZZTQ</t>
  </si>
  <si>
    <t>Seat Trim Level</t>
  </si>
  <si>
    <t>BVAA6</t>
  </si>
  <si>
    <t>Seat Type - Standard</t>
  </si>
  <si>
    <t>B55E</t>
  </si>
  <si>
    <t>033CM</t>
  </si>
  <si>
    <t>BVABT</t>
  </si>
  <si>
    <t>Premium Seats</t>
  </si>
  <si>
    <t>B55A</t>
  </si>
  <si>
    <t>033MC</t>
  </si>
  <si>
    <t>ZZTV</t>
  </si>
  <si>
    <t>Interior Trim Finishers</t>
  </si>
  <si>
    <t>BB6EN</t>
  </si>
  <si>
    <t>VSEF</t>
  </si>
  <si>
    <t>BB6GC</t>
  </si>
  <si>
    <t>VSHG</t>
  </si>
  <si>
    <t>BB6GE</t>
  </si>
  <si>
    <t>VSHJ</t>
  </si>
  <si>
    <t>BB6GF</t>
  </si>
  <si>
    <t>VSHK</t>
  </si>
  <si>
    <t>ZZTZ</t>
  </si>
  <si>
    <t>Front Grille</t>
  </si>
  <si>
    <t>BLDEJ</t>
  </si>
  <si>
    <t>Grille - Gloss Black/Gloss Blk Surround</t>
  </si>
  <si>
    <t>G12T</t>
  </si>
  <si>
    <t>064FQ</t>
  </si>
  <si>
    <t>BLDEK</t>
  </si>
  <si>
    <t>Grille - Chrome/Chrome Surround</t>
  </si>
  <si>
    <t>G12V</t>
  </si>
  <si>
    <t>064FR</t>
  </si>
  <si>
    <t>BLDFV</t>
  </si>
  <si>
    <t>Grille-Satn Shdow Atlas/Noble Chrome Srd</t>
  </si>
  <si>
    <t>GX11</t>
  </si>
  <si>
    <t>064XG</t>
  </si>
  <si>
    <t>ZZUB</t>
  </si>
  <si>
    <t>Headlamps</t>
  </si>
  <si>
    <t>JBBBP</t>
  </si>
  <si>
    <t>D90Y</t>
  </si>
  <si>
    <t>JBBBU</t>
  </si>
  <si>
    <t>D90C</t>
  </si>
  <si>
    <t>ZZUD</t>
  </si>
  <si>
    <t>Territorial Features</t>
  </si>
  <si>
    <t>MRKT</t>
  </si>
  <si>
    <t>WSPBD</t>
  </si>
  <si>
    <t>China JV</t>
  </si>
  <si>
    <t>ZZUF</t>
  </si>
  <si>
    <t>Navigation Unit</t>
  </si>
  <si>
    <t>ZG50J</t>
  </si>
  <si>
    <t>Connected Nav Pro</t>
  </si>
  <si>
    <t>G50J</t>
  </si>
  <si>
    <t>087AY</t>
  </si>
  <si>
    <t>ZG50Z</t>
  </si>
  <si>
    <t>LESS Navigation.</t>
  </si>
  <si>
    <t>G50Z</t>
  </si>
  <si>
    <t>087AV</t>
  </si>
  <si>
    <t>ZZUW</t>
  </si>
  <si>
    <t>Wheelbase</t>
  </si>
  <si>
    <t>AA5AZ</t>
  </si>
  <si>
    <t>Long Wheelbase (LWB)</t>
  </si>
  <si>
    <t>S57A</t>
  </si>
  <si>
    <t>101AH</t>
  </si>
  <si>
    <t>ZZUX</t>
  </si>
  <si>
    <t>Headlinings (Colour)</t>
  </si>
  <si>
    <t>BBZBK</t>
  </si>
  <si>
    <t>Ebony Headlining</t>
  </si>
  <si>
    <t>HPFD</t>
  </si>
  <si>
    <t>032BU</t>
  </si>
  <si>
    <t>BBZBT</t>
  </si>
  <si>
    <t>Light Oyster Headliner</t>
  </si>
  <si>
    <t>HAMT</t>
  </si>
  <si>
    <t>032FE</t>
  </si>
  <si>
    <t>ZZVI</t>
  </si>
  <si>
    <t>Tailgate/Bootlid</t>
  </si>
  <si>
    <t>A7AAB</t>
  </si>
  <si>
    <t>Tailgate/Bootlid-Conventional</t>
  </si>
  <si>
    <t>B69A</t>
  </si>
  <si>
    <t>070AU</t>
  </si>
  <si>
    <t>A7AAE</t>
  </si>
  <si>
    <t>B69B</t>
  </si>
  <si>
    <t>ZZWH</t>
  </si>
  <si>
    <t>Weight Vehicle Type Approval</t>
  </si>
  <si>
    <t>AEKAQ</t>
  </si>
  <si>
    <t>Certification Label Type 6</t>
  </si>
  <si>
    <t>B97K</t>
  </si>
  <si>
    <t>097CL</t>
  </si>
  <si>
    <t>ZZWK</t>
  </si>
  <si>
    <t>Tailgate Finisher</t>
  </si>
  <si>
    <t>BPQAP</t>
  </si>
  <si>
    <t>Boot/Tailgate Finisher - Noble Chrome</t>
  </si>
  <si>
    <t>G12G</t>
  </si>
  <si>
    <t>071ED</t>
  </si>
  <si>
    <t>BPQAQ</t>
  </si>
  <si>
    <t>Narvik Black Tailgate Finisher</t>
  </si>
  <si>
    <t>G12L</t>
  </si>
  <si>
    <t>071EF</t>
  </si>
  <si>
    <t>ZZWP</t>
  </si>
  <si>
    <t>Headlamp Beam Operation</t>
  </si>
  <si>
    <t>A3BAC</t>
  </si>
  <si>
    <t>Headlamp Operation LHD -right justify</t>
  </si>
  <si>
    <t>L83A</t>
  </si>
  <si>
    <t>064HL</t>
  </si>
  <si>
    <t>ZZWS</t>
  </si>
  <si>
    <t>E Approval Labels</t>
  </si>
  <si>
    <t>AEMAA</t>
  </si>
  <si>
    <t>LESS E Approval Label</t>
  </si>
  <si>
    <t>B98Z</t>
  </si>
  <si>
    <t>096TK</t>
  </si>
  <si>
    <t>ZZWX</t>
  </si>
  <si>
    <t>SVO Content</t>
  </si>
  <si>
    <t>SETO</t>
  </si>
  <si>
    <t>ZS67A</t>
  </si>
  <si>
    <t>Bespoke SVO Content</t>
  </si>
  <si>
    <t>S67A</t>
  </si>
  <si>
    <t>005CA</t>
  </si>
  <si>
    <t>ZS67Z</t>
  </si>
  <si>
    <t>LESS Bespoke SVO Content</t>
  </si>
  <si>
    <t>S67Z</t>
  </si>
  <si>
    <t>005CM</t>
  </si>
  <si>
    <t>ZZWZ</t>
  </si>
  <si>
    <t>Dealer Fit Accessory</t>
  </si>
  <si>
    <t>SDFA</t>
  </si>
  <si>
    <t>ZS68A</t>
  </si>
  <si>
    <t>S68A</t>
  </si>
  <si>
    <t>005CB</t>
  </si>
  <si>
    <t>ZS68Z</t>
  </si>
  <si>
    <t>LESS Dealer Fit Accessory</t>
  </si>
  <si>
    <t>S68Z</t>
  </si>
  <si>
    <t>005CN</t>
  </si>
  <si>
    <t>ZZXB</t>
  </si>
  <si>
    <t>Knee Protection</t>
  </si>
  <si>
    <t>CNEAA</t>
  </si>
  <si>
    <t>LESS Knee Protection</t>
  </si>
  <si>
    <t>D83Z</t>
  </si>
  <si>
    <t>026AR</t>
  </si>
  <si>
    <t>ZZXC</t>
  </si>
  <si>
    <t>Tyre Recommended Plates</t>
  </si>
  <si>
    <t>AENAC</t>
  </si>
  <si>
    <t>Tyre Recommended Plate - non English</t>
  </si>
  <si>
    <t>B99B</t>
  </si>
  <si>
    <t>096UF</t>
  </si>
  <si>
    <t>ZZXU</t>
  </si>
  <si>
    <t>Plant Build Requirements</t>
  </si>
  <si>
    <t>PLNT</t>
  </si>
  <si>
    <t>AAGB5</t>
  </si>
  <si>
    <t>Changsu Assembly Plant Build</t>
  </si>
  <si>
    <t>900B</t>
  </si>
  <si>
    <t>900AB</t>
  </si>
  <si>
    <t>ZZXV</t>
  </si>
  <si>
    <t>Speed Warning Label</t>
  </si>
  <si>
    <t>AF4AA</t>
  </si>
  <si>
    <t>LESS Warning Label</t>
  </si>
  <si>
    <t>A45Z</t>
  </si>
  <si>
    <t>096VA</t>
  </si>
  <si>
    <t>ZZXX</t>
  </si>
  <si>
    <t>Export Shipping</t>
  </si>
  <si>
    <t>FIKAA</t>
  </si>
  <si>
    <t>LESS Export Shipping Requirements</t>
  </si>
  <si>
    <t>G67A</t>
  </si>
  <si>
    <t>095DA</t>
  </si>
  <si>
    <t>ZZYL</t>
  </si>
  <si>
    <t>Internal Sound Enhancement</t>
  </si>
  <si>
    <t>IDJAA</t>
  </si>
  <si>
    <t>LESS Internal Sound Enhancemt</t>
  </si>
  <si>
    <t>G27Z</t>
  </si>
  <si>
    <t>095JA</t>
  </si>
  <si>
    <t>IDJAB</t>
  </si>
  <si>
    <t>NGPTSQ (Low)</t>
  </si>
  <si>
    <t>G27A</t>
  </si>
  <si>
    <t>095JB</t>
  </si>
  <si>
    <t>ZZZB</t>
  </si>
  <si>
    <t>Mapcare</t>
  </si>
  <si>
    <t>AGRAA</t>
  </si>
  <si>
    <t>LESS Mapcare</t>
  </si>
  <si>
    <t>G33A</t>
  </si>
  <si>
    <t>095RC</t>
  </si>
  <si>
    <t>AGRAL</t>
  </si>
  <si>
    <t>Mapcare - China 3yr</t>
  </si>
  <si>
    <t>G33F</t>
  </si>
  <si>
    <t>095RH</t>
  </si>
  <si>
    <t>ZZZP</t>
  </si>
  <si>
    <t>Consumer Electronic Device Charging</t>
  </si>
  <si>
    <t>IEHAA</t>
  </si>
  <si>
    <t>LESS CE Device Charging</t>
  </si>
  <si>
    <t>G74Z</t>
  </si>
  <si>
    <t>171AA</t>
  </si>
  <si>
    <t>IEHAD</t>
  </si>
  <si>
    <t>Wireless Charger with Booster - 8 Freq</t>
  </si>
  <si>
    <t>G74H</t>
  </si>
  <si>
    <t>171AD</t>
  </si>
  <si>
    <t>ZZZS</t>
  </si>
  <si>
    <t>Side Door Power</t>
  </si>
  <si>
    <t>CBOAA</t>
  </si>
  <si>
    <t>LESS Side Door Power</t>
  </si>
  <si>
    <t>G45A</t>
  </si>
  <si>
    <t>173AA</t>
  </si>
  <si>
    <t>CBOAB</t>
  </si>
  <si>
    <t>G45B</t>
  </si>
  <si>
    <t>AUTO Change Log: NO</t>
  </si>
  <si>
    <t>Codeset: JLR CODE</t>
  </si>
  <si>
    <t>4 dr Saloon LWB</t>
  </si>
  <si>
    <t>2.0 I4 300 PS AWD Auto</t>
  </si>
  <si>
    <t>RD3</t>
  </si>
  <si>
    <t>YES</t>
  </si>
  <si>
    <t>M</t>
  </si>
  <si>
    <t>P</t>
  </si>
  <si>
    <t>China Region NSCs in Full</t>
  </si>
  <si>
    <t>CHINA CJV</t>
  </si>
  <si>
    <t>YB260/260NL</t>
  </si>
  <si>
    <t>0116339182</t>
  </si>
  <si>
    <t>X260LWB XFL 21MY TT v1.1 Published_PACN12700625_With TT Mix.xlsx - 2020/1/2</t>
  </si>
  <si>
    <t>2.0 I4 200 PS RWD Auto</t>
  </si>
  <si>
    <t>2.0 I4 250 PS RWD Auto</t>
  </si>
  <si>
    <t>2.0 I4 250 PS AWD Auto</t>
  </si>
  <si>
    <t>Black Edition</t>
  </si>
  <si>
    <t>SP0</t>
  </si>
  <si>
    <t>SP1</t>
  </si>
  <si>
    <t>SP2</t>
  </si>
  <si>
    <t>RD1</t>
  </si>
  <si>
    <t>LE7</t>
  </si>
  <si>
    <t>260NM</t>
  </si>
  <si>
    <t>Corbin Jiang</t>
  </si>
  <si>
    <t>Wanqi Shen</t>
  </si>
  <si>
    <t>Xiao Chen</t>
  </si>
  <si>
    <t>Li He</t>
  </si>
  <si>
    <t>FEU</t>
  </si>
  <si>
    <t>VE</t>
  </si>
  <si>
    <t>PD</t>
  </si>
  <si>
    <t>VIAQ/FEU</t>
  </si>
  <si>
    <t>R202</t>
  </si>
  <si>
    <t>VIAQ/E4P</t>
  </si>
  <si>
    <t>EE Test</t>
  </si>
  <si>
    <t>ATO01</t>
  </si>
  <si>
    <t>ATO02</t>
  </si>
  <si>
    <t>ATO03</t>
  </si>
  <si>
    <t>ATO04</t>
  </si>
  <si>
    <t>ATO05</t>
  </si>
  <si>
    <t>ATO06</t>
  </si>
  <si>
    <t>ATO07</t>
  </si>
  <si>
    <t>ATO08</t>
  </si>
  <si>
    <t>ATO09</t>
  </si>
  <si>
    <t>ATO10</t>
  </si>
  <si>
    <t>ATO11</t>
  </si>
  <si>
    <t>N</t>
  </si>
  <si>
    <t>X26021-TT-V001</t>
  </si>
  <si>
    <t>X26021-TT-V002</t>
  </si>
  <si>
    <t>X26021-TT-V003</t>
  </si>
  <si>
    <t>X26021-TT-V004</t>
  </si>
  <si>
    <t>X26021-TT-V005</t>
  </si>
  <si>
    <t>X26021-TT-V006</t>
  </si>
  <si>
    <t>X26021-TT-V007</t>
  </si>
  <si>
    <t>X26021-TT-V008</t>
  </si>
  <si>
    <t>X26021-TT-V009</t>
  </si>
  <si>
    <t>X26021-TT-V010</t>
  </si>
  <si>
    <t>X26021-TT-V011</t>
  </si>
  <si>
    <t>X26021-TT-V012</t>
  </si>
  <si>
    <t>X26021-TT-V013</t>
  </si>
  <si>
    <t>YC260/260NG</t>
  </si>
  <si>
    <t>YC260/260NH</t>
  </si>
  <si>
    <t>YC260/260NJ</t>
  </si>
  <si>
    <t>YD260/260NK</t>
  </si>
  <si>
    <t>YD260/260NM</t>
  </si>
  <si>
    <t>(O)-Y</t>
  </si>
  <si>
    <t>(O)-N</t>
  </si>
  <si>
    <t>O-N</t>
  </si>
  <si>
    <t>O-Y</t>
  </si>
  <si>
    <t>S-N</t>
  </si>
  <si>
    <t>P-Y</t>
  </si>
  <si>
    <t>AUTO CHANGE LOG - UPDATE WITH VERSION #1.1</t>
  </si>
  <si>
    <t>017HE changed to O-N</t>
  </si>
  <si>
    <t>017HE will be cancelled</t>
  </si>
  <si>
    <t>Yu Yuan</t>
  </si>
  <si>
    <t>079BO changed to P</t>
  </si>
  <si>
    <t>048BD changed to P</t>
  </si>
  <si>
    <t>051AJ changed to P</t>
  </si>
  <si>
    <t>112RB changed to P</t>
  </si>
  <si>
    <t>CHANGE LOG - UPDATE WITH VERSION #1.2</t>
    <phoneticPr fontId="12" type="noConversion"/>
  </si>
  <si>
    <t>All</t>
    <phoneticPr fontId="12" type="noConversion"/>
  </si>
  <si>
    <t>All</t>
    <phoneticPr fontId="12" type="noConversion"/>
  </si>
  <si>
    <t>update with OXO V1.1</t>
    <phoneticPr fontId="12" type="noConversion"/>
  </si>
  <si>
    <t>NA</t>
    <phoneticPr fontId="12" type="noConversion"/>
  </si>
  <si>
    <t>Yu Yuan</t>
    <phoneticPr fontId="12" type="noConversion"/>
  </si>
  <si>
    <t>IMSS</t>
  </si>
  <si>
    <t>X260LWB XFL 21MY TT v1.1 Published_PACN12700625_With TT Mix.xlsx - 2020/1/9</t>
  </si>
  <si>
    <t>TVC Shooting</t>
    <phoneticPr fontId="20" type="noConversion"/>
  </si>
  <si>
    <t>GZAS</t>
    <phoneticPr fontId="20" type="noConversion"/>
  </si>
  <si>
    <t>ATO12</t>
  </si>
  <si>
    <t>ATO13</t>
  </si>
  <si>
    <t>ATO14</t>
  </si>
  <si>
    <t>ATO16</t>
  </si>
  <si>
    <t>X26021-TT-V014</t>
  </si>
  <si>
    <t>X26021-TT-V016</t>
  </si>
  <si>
    <t>P-Y</t>
    <phoneticPr fontId="20" type="noConversion"/>
  </si>
  <si>
    <t>P-Y</t>
    <phoneticPr fontId="20" type="noConversion"/>
  </si>
  <si>
    <t>P-Y</t>
    <phoneticPr fontId="20" type="noConversion"/>
  </si>
  <si>
    <t>S-N</t>
    <phoneticPr fontId="20" type="noConversion"/>
  </si>
  <si>
    <t>S-N</t>
    <phoneticPr fontId="20" type="noConversion"/>
  </si>
  <si>
    <t>S-N</t>
    <phoneticPr fontId="20" type="noConversion"/>
  </si>
  <si>
    <t>S-N</t>
    <phoneticPr fontId="20" type="noConversion"/>
  </si>
  <si>
    <t>S-N</t>
    <phoneticPr fontId="20" type="noConversion"/>
  </si>
  <si>
    <t>O-N</t>
    <phoneticPr fontId="20" type="noConversion"/>
  </si>
  <si>
    <t>O-N</t>
    <phoneticPr fontId="20" type="noConversion"/>
  </si>
  <si>
    <t>Hakuba Silver</t>
    <phoneticPr fontId="20" type="noConversion"/>
  </si>
  <si>
    <t>ATO15</t>
    <phoneticPr fontId="20" type="noConversion"/>
  </si>
  <si>
    <t>ATO17</t>
    <phoneticPr fontId="20" type="noConversion"/>
  </si>
  <si>
    <t>X26021-TT-V015</t>
    <phoneticPr fontId="20" type="noConversion"/>
  </si>
  <si>
    <t>X26021-TT-V017</t>
    <phoneticPr fontId="20" type="noConversion"/>
  </si>
  <si>
    <t>P-Y</t>
    <phoneticPr fontId="20" type="noConversion"/>
  </si>
  <si>
    <t>P-Y</t>
    <phoneticPr fontId="20" type="noConversion"/>
  </si>
  <si>
    <t>P-Y</t>
    <phoneticPr fontId="20" type="noConversion"/>
  </si>
  <si>
    <t>P-Y</t>
    <phoneticPr fontId="20" type="noConversion"/>
  </si>
  <si>
    <t>P-Y</t>
    <phoneticPr fontId="20" type="noConversion"/>
  </si>
  <si>
    <t>P-Y</t>
    <phoneticPr fontId="20" type="noConversion"/>
  </si>
  <si>
    <t>P-Y</t>
    <phoneticPr fontId="20" type="noConversion"/>
  </si>
  <si>
    <t>S-N</t>
    <phoneticPr fontId="20" type="noConversion"/>
  </si>
  <si>
    <t>070AV</t>
    <phoneticPr fontId="20" type="noConversion"/>
  </si>
  <si>
    <t>049AP</t>
    <phoneticPr fontId="20" type="noConversion"/>
  </si>
  <si>
    <t>054AK</t>
    <phoneticPr fontId="20" type="noConversion"/>
  </si>
  <si>
    <t>021MB</t>
    <phoneticPr fontId="20" type="noConversion"/>
  </si>
  <si>
    <t>026JC</t>
    <phoneticPr fontId="20" type="noConversion"/>
  </si>
  <si>
    <t>066AC</t>
    <phoneticPr fontId="20" type="noConversion"/>
  </si>
  <si>
    <t>173AB</t>
    <phoneticPr fontId="20" type="noConversion"/>
  </si>
  <si>
    <t>O-Y</t>
    <phoneticPr fontId="20" type="noConversion"/>
  </si>
  <si>
    <t>P-Y</t>
    <phoneticPr fontId="20" type="noConversion"/>
  </si>
  <si>
    <t>P-Y</t>
    <phoneticPr fontId="20" type="noConversion"/>
  </si>
  <si>
    <t>S-N</t>
    <phoneticPr fontId="20" type="noConversion"/>
  </si>
  <si>
    <t>S-N</t>
    <phoneticPr fontId="20" type="noConversion"/>
  </si>
  <si>
    <t>S-N</t>
    <phoneticPr fontId="20" type="noConversion"/>
  </si>
  <si>
    <t>S-N</t>
    <phoneticPr fontId="20" type="noConversion"/>
  </si>
  <si>
    <t>S-N</t>
    <phoneticPr fontId="20" type="noConversion"/>
  </si>
  <si>
    <t>S-N</t>
    <phoneticPr fontId="20" type="noConversion"/>
  </si>
  <si>
    <t>301YQ</t>
    <phoneticPr fontId="20" type="noConversion"/>
  </si>
  <si>
    <t>S-N</t>
    <phoneticPr fontId="20" type="noConversion"/>
  </si>
  <si>
    <t>S-N</t>
    <phoneticPr fontId="20" type="noConversion"/>
  </si>
  <si>
    <t>Xi Li</t>
    <phoneticPr fontId="20" type="noConversion"/>
  </si>
  <si>
    <t>301YR</t>
    <phoneticPr fontId="20" type="noConversion"/>
  </si>
  <si>
    <t>260NM</t>
    <phoneticPr fontId="12" type="noConversion"/>
  </si>
  <si>
    <t>1DQ</t>
    <phoneticPr fontId="12" type="noConversion"/>
  </si>
  <si>
    <t>Complete</t>
  </si>
  <si>
    <t>Fuji White (1AA)</t>
    <phoneticPr fontId="20" type="noConversion"/>
  </si>
  <si>
    <t>303TJ</t>
    <phoneticPr fontId="20" type="noConversion"/>
  </si>
  <si>
    <t>OXO CODES ALIGNED WITH EFG</t>
    <phoneticPr fontId="20" type="noConversion"/>
  </si>
  <si>
    <t>British Racing Green (1DQ)</t>
  </si>
  <si>
    <t>303TK</t>
    <phoneticPr fontId="20" type="noConversion"/>
  </si>
  <si>
    <t>Bluefire Blue (1AS)</t>
    <phoneticPr fontId="20" type="noConversion"/>
  </si>
  <si>
    <t>301WZ</t>
    <phoneticPr fontId="20" type="noConversion"/>
  </si>
  <si>
    <t>Bluefire Blue (1AS)</t>
    <phoneticPr fontId="20" type="noConversion"/>
  </si>
  <si>
    <t>303UA</t>
    <phoneticPr fontId="20" type="noConversion"/>
  </si>
  <si>
    <t>Portofino Blue (1DG)</t>
    <phoneticPr fontId="20" type="noConversion"/>
  </si>
  <si>
    <t>303UC</t>
    <phoneticPr fontId="20" type="noConversion"/>
  </si>
  <si>
    <t>303UB</t>
    <phoneticPr fontId="20" type="noConversion"/>
  </si>
  <si>
    <t>Silicon Silver (1BN)</t>
    <phoneticPr fontId="20" type="noConversion"/>
  </si>
  <si>
    <t>Fuji White (1AA)</t>
    <phoneticPr fontId="20" type="noConversion"/>
  </si>
  <si>
    <t>303TJ</t>
    <phoneticPr fontId="20" type="noConversion"/>
  </si>
  <si>
    <t>301YN</t>
    <phoneticPr fontId="20" type="noConversion"/>
  </si>
  <si>
    <t>Hakuba Silver (1DU)</t>
    <phoneticPr fontId="20" type="noConversion"/>
  </si>
  <si>
    <t>Hakuba Silver (1DU)</t>
    <phoneticPr fontId="20" type="noConversion"/>
  </si>
  <si>
    <t>301YQ</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</si>
</sst>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宋体"/>
      <family val="2"/>
      <scheme val="minor"/>
    </font>
    <font>
      <sz val="10"/>
      <name val="Arial"/>
      <family val="2"/>
    </font>
    <font>
      <sz val="9"/>
      <name val="Arial"/>
      <family val="2"/>
    </font>
    <font>
      <b/>
      <sz val="9"/>
      <name val="Arial"/>
      <family val="2"/>
    </font>
    <font>
      <sz val="9"/>
      <color theme="0"/>
      <name val="Arial"/>
      <family val="2"/>
    </font>
    <font>
      <b/>
      <sz val="10"/>
      <name val="Arial"/>
      <family val="2"/>
    </font>
    <font>
      <b/>
      <sz val="11"/>
      <color theme="1"/>
      <name val="宋体"/>
      <family val="2"/>
      <scheme val="minor"/>
    </font>
    <font>
      <b/>
      <u/>
      <sz val="11"/>
      <color theme="1"/>
      <name val="宋体"/>
      <family val="2"/>
      <scheme val="minor"/>
    </font>
    <font>
      <u/>
      <sz val="11"/>
      <color theme="10"/>
      <name val="宋体"/>
      <family val="2"/>
      <scheme val="minor"/>
    </font>
    <font>
      <sz val="11"/>
      <color theme="1"/>
      <name val="宋体"/>
      <family val="2"/>
      <scheme val="minor"/>
    </font>
    <font>
      <sz val="11"/>
      <color rgb="FF010000"/>
      <name val="宋体"/>
      <family val="2"/>
      <scheme val="minor"/>
    </font>
    <font>
      <b/>
      <sz val="11"/>
      <color rgb="FF010000"/>
      <name val="宋体"/>
      <family val="2"/>
      <scheme val="minor"/>
    </font>
    <font>
      <sz val="9"/>
      <name val="宋体"/>
      <family val="3"/>
      <charset val="134"/>
      <scheme val="minor"/>
    </font>
    <font>
      <b/>
      <sz val="11"/>
      <color rgb="FFFFFFFF"/>
      <name val="Calibri"/>
      <family val="2"/>
    </font>
    <font>
      <b/>
      <u/>
      <sz val="11"/>
      <color rgb="FFFFFFFF"/>
      <name val="Calibri"/>
      <family val="2"/>
    </font>
    <font>
      <sz val="11"/>
      <color rgb="FFFFFFFF"/>
      <name val="Calibri"/>
      <family val="2"/>
    </font>
    <font>
      <b/>
      <u/>
      <sz val="14"/>
      <color rgb="FF0000FF"/>
      <name val="Calibri"/>
      <family val="2"/>
    </font>
    <font>
      <b/>
      <sz val="10"/>
      <name val="Calibri"/>
      <family val="2"/>
    </font>
    <font>
      <b/>
      <sz val="11"/>
      <name val="Calibri"/>
      <family val="2"/>
    </font>
    <font>
      <b/>
      <sz val="14"/>
      <name val="Calibri"/>
      <family val="2"/>
    </font>
    <font>
      <sz val="9"/>
      <name val="宋体"/>
      <family val="3"/>
      <charset val="134"/>
    </font>
    <font>
      <sz val="11"/>
      <color theme="1"/>
      <name val="Calibri"/>
      <family val="2"/>
    </font>
    <font>
      <sz val="11"/>
      <name val="Calibri"/>
      <family val="2"/>
    </font>
    <font>
      <sz val="11"/>
      <color rgb="FF010000"/>
      <name val="Calibri"/>
      <family val="2"/>
    </font>
    <font>
      <sz val="9"/>
      <name val="Calibri"/>
      <family val="2"/>
    </font>
    <font>
      <b/>
      <sz val="9"/>
      <name val="Calibri"/>
      <family val="2"/>
    </font>
    <font>
      <sz val="9"/>
      <color rgb="FFFFFFFF"/>
      <name val="Calibri"/>
      <family val="2"/>
    </font>
    <font>
      <sz val="10"/>
      <name val="Calibri"/>
      <family val="2"/>
    </font>
    <font>
      <sz val="11"/>
      <color rgb="FFFF0000"/>
      <name val="宋体"/>
      <family val="3"/>
      <charset val="134"/>
    </font>
  </fonts>
  <fills count="21">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rgb="FFFFC000"/>
        <bgColor indexed="64"/>
      </patternFill>
    </fill>
    <fill>
      <patternFill patternType="solid">
        <fgColor rgb="FFFFFF66"/>
        <bgColor indexed="64"/>
      </patternFill>
    </fill>
    <fill>
      <patternFill patternType="solid">
        <fgColor rgb="FF00B0F0"/>
        <bgColor indexed="64"/>
      </patternFill>
    </fill>
    <fill>
      <patternFill patternType="solid">
        <fgColor rgb="FF00FF00"/>
        <bgColor indexed="64"/>
      </patternFill>
    </fill>
    <fill>
      <patternFill patternType="solid">
        <fgColor indexed="8"/>
        <bgColor indexed="64"/>
      </patternFill>
    </fill>
    <fill>
      <patternFill patternType="solid">
        <fgColor rgb="FF000000"/>
      </patternFill>
    </fill>
    <fill>
      <patternFill patternType="solid">
        <fgColor indexed="21"/>
        <bgColor indexed="64"/>
      </patternFill>
    </fill>
    <fill>
      <patternFill patternType="solid">
        <fgColor indexed="49"/>
        <bgColor indexed="64"/>
      </patternFill>
    </fill>
    <fill>
      <patternFill patternType="solid">
        <fgColor indexed="46"/>
        <bgColor indexed="64"/>
      </patternFill>
    </fill>
    <fill>
      <patternFill patternType="solid">
        <fgColor indexed="43"/>
        <bgColor indexed="64"/>
      </patternFill>
    </fill>
    <fill>
      <patternFill patternType="darkGrid">
        <fgColor theme="0" tint="-0.499984740745262"/>
        <bgColor indexed="65"/>
      </patternFill>
    </fill>
    <fill>
      <patternFill patternType="solid">
        <fgColor indexed="10"/>
        <bgColor indexed="64"/>
      </patternFill>
    </fill>
    <fill>
      <patternFill patternType="solid">
        <fgColor indexed="52"/>
        <bgColor indexed="64"/>
      </patternFill>
    </fill>
    <fill>
      <patternFill patternType="solid">
        <fgColor rgb="FFD3D3D3"/>
      </patternFill>
    </fill>
    <fill>
      <patternFill patternType="solid">
        <fgColor indexed="22"/>
        <bgColor indexed="64"/>
      </patternFill>
    </fill>
    <fill>
      <patternFill patternType="solid">
        <fgColor indexed="40"/>
        <bgColor indexed="64"/>
      </patternFill>
    </fill>
    <fill>
      <patternFill patternType="solid">
        <fgColor rgb="FFFFFF00"/>
        <bgColor indexed="64"/>
      </patternFill>
    </fill>
  </fills>
  <borders count="13">
    <border>
      <left/>
      <right/>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Dashed">
        <color rgb="FFFF0000"/>
      </left>
      <right/>
      <top style="mediumDashed">
        <color rgb="FFFF0000"/>
      </top>
      <bottom style="mediumDashed">
        <color rgb="FFFF0000"/>
      </bottom>
      <diagonal/>
    </border>
    <border>
      <left/>
      <right/>
      <top style="mediumDashed">
        <color rgb="FFFF0000"/>
      </top>
      <bottom style="mediumDashed">
        <color rgb="FFFF0000"/>
      </bottom>
      <diagonal/>
    </border>
    <border>
      <left/>
      <right style="mediumDashed">
        <color rgb="FFFF0000"/>
      </right>
      <top style="mediumDashed">
        <color rgb="FFFF0000"/>
      </top>
      <bottom style="mediumDashed">
        <color rgb="FFFF0000"/>
      </bottom>
      <diagonal/>
    </border>
    <border>
      <left style="thin">
        <color auto="1"/>
      </left>
      <right style="thin">
        <color auto="1"/>
      </right>
      <top style="thin">
        <color auto="1"/>
      </top>
      <bottom style="thin">
        <color auto="1"/>
      </bottom>
      <diagonal/>
    </border>
  </borders>
  <cellStyleXfs count="17">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applyNumberFormat="0" applyFill="0" applyBorder="0" applyAlignment="0" applyProtection="0"/>
    <xf numFmtId="0" fontId="1" fillId="0" borderId="0"/>
    <xf numFmtId="0" fontId="9" fillId="0" borderId="0"/>
    <xf numFmtId="0" fontId="1" fillId="0" borderId="0"/>
    <xf numFmtId="0" fontId="1" fillId="0" borderId="0"/>
    <xf numFmtId="0" fontId="1" fillId="0" borderId="0"/>
    <xf numFmtId="0" fontId="1" fillId="0" borderId="0"/>
  </cellStyleXfs>
  <cellXfs count="95">
    <xf numFmtId="0" fontId="0" fillId="0" borderId="0" xfId="0"/>
    <xf numFmtId="0" fontId="2" fillId="0" borderId="1" xfId="0" applyFont="1" applyBorder="1" applyAlignment="1">
      <alignment horizontal="center" vertical="center" wrapText="1"/>
    </xf>
    <xf numFmtId="0" fontId="3" fillId="0" borderId="2" xfId="0" applyFont="1" applyBorder="1" applyAlignment="1">
      <alignment horizontal="center" vertical="center" wrapText="1"/>
    </xf>
    <xf numFmtId="0" fontId="0" fillId="0" borderId="5" xfId="0" applyBorder="1"/>
    <xf numFmtId="0" fontId="6" fillId="0" borderId="0" xfId="0" applyFont="1" applyFill="1"/>
    <xf numFmtId="0" fontId="0" fillId="0" borderId="0" xfId="0" applyFill="1"/>
    <xf numFmtId="0" fontId="7" fillId="0" borderId="0" xfId="0" applyFont="1"/>
    <xf numFmtId="0" fontId="5" fillId="0" borderId="0" xfId="1" applyFont="1" applyFill="1" applyBorder="1" applyAlignment="1">
      <alignment horizontal="right" vertical="center" wrapText="1"/>
    </xf>
    <xf numFmtId="0" fontId="5" fillId="0" borderId="0" xfId="0" applyFont="1" applyFill="1" applyBorder="1" applyAlignment="1">
      <alignment horizontal="right" vertical="center" wrapText="1"/>
    </xf>
    <xf numFmtId="0" fontId="2" fillId="0" borderId="1" xfId="0" applyFont="1" applyFill="1" applyBorder="1" applyAlignment="1">
      <alignment horizontal="center" vertical="center" wrapText="1"/>
    </xf>
    <xf numFmtId="0" fontId="3" fillId="0" borderId="2" xfId="0" applyFont="1" applyFill="1" applyBorder="1" applyAlignment="1">
      <alignment horizontal="center" vertical="center" wrapText="1"/>
    </xf>
    <xf numFmtId="0" fontId="0" fillId="0" borderId="5" xfId="0" applyNumberFormat="1" applyBorder="1"/>
    <xf numFmtId="0" fontId="0" fillId="0" borderId="5" xfId="0" applyBorder="1" applyAlignment="1">
      <alignment wrapText="1"/>
    </xf>
    <xf numFmtId="0" fontId="11" fillId="0" borderId="0" xfId="0" applyFont="1" applyFill="1"/>
    <xf numFmtId="49" fontId="11" fillId="0" borderId="0" xfId="0" applyNumberFormat="1" applyFont="1" applyFill="1"/>
    <xf numFmtId="49" fontId="10" fillId="0" borderId="0" xfId="0" applyNumberFormat="1" applyFont="1" applyFill="1"/>
    <xf numFmtId="49" fontId="0" fillId="0" borderId="0" xfId="0" applyNumberFormat="1"/>
    <xf numFmtId="0" fontId="6" fillId="4" borderId="0" xfId="0" applyFont="1" applyFill="1" applyAlignment="1">
      <alignment vertical="center"/>
    </xf>
    <xf numFmtId="0" fontId="6" fillId="4" borderId="0" xfId="0" applyFont="1" applyFill="1" applyAlignment="1">
      <alignment vertical="center" wrapText="1"/>
    </xf>
    <xf numFmtId="0" fontId="6" fillId="5" borderId="0" xfId="0" applyFont="1" applyFill="1" applyAlignment="1">
      <alignment vertical="center" wrapText="1"/>
    </xf>
    <xf numFmtId="0" fontId="10" fillId="0" borderId="0" xfId="0" applyFont="1" applyFill="1"/>
    <xf numFmtId="0" fontId="0" fillId="6" borderId="0" xfId="0" applyFill="1" applyAlignment="1">
      <alignment horizontal="left"/>
    </xf>
    <xf numFmtId="0" fontId="0" fillId="7" borderId="0" xfId="0" applyFill="1"/>
    <xf numFmtId="0" fontId="0" fillId="0" borderId="9" xfId="0" applyBorder="1"/>
    <xf numFmtId="0" fontId="0" fillId="0" borderId="10" xfId="0" applyBorder="1"/>
    <xf numFmtId="0" fontId="0" fillId="0" borderId="11" xfId="0" applyBorder="1"/>
    <xf numFmtId="0" fontId="0" fillId="0" borderId="0" xfId="0"/>
    <xf numFmtId="0" fontId="16" fillId="0" borderId="12" xfId="0" applyNumberFormat="1" applyFont="1" applyBorder="1"/>
    <xf numFmtId="0" fontId="17" fillId="0" borderId="12" xfId="0" applyNumberFormat="1" applyFont="1" applyBorder="1" applyAlignment="1">
      <alignment wrapText="1"/>
    </xf>
    <xf numFmtId="0" fontId="18" fillId="0" borderId="12" xfId="0" applyNumberFormat="1" applyFont="1" applyBorder="1" applyAlignment="1">
      <alignment horizontal="right" vertical="center" wrapText="1"/>
    </xf>
    <xf numFmtId="0" fontId="19" fillId="0" borderId="12" xfId="0" applyNumberFormat="1" applyFont="1" applyBorder="1" applyAlignment="1">
      <alignment wrapText="1"/>
    </xf>
    <xf numFmtId="0" fontId="19" fillId="0" borderId="12" xfId="0" applyNumberFormat="1" applyFont="1" applyBorder="1"/>
    <xf numFmtId="0" fontId="18" fillId="11" borderId="12" xfId="0" applyNumberFormat="1" applyFont="1" applyFill="1" applyBorder="1" applyAlignment="1">
      <alignment horizontal="right" vertical="center" wrapText="1"/>
    </xf>
    <xf numFmtId="0" fontId="18" fillId="12" borderId="12" xfId="0" applyNumberFormat="1" applyFont="1" applyFill="1" applyBorder="1" applyAlignment="1">
      <alignment horizontal="right" vertical="center" wrapText="1"/>
    </xf>
    <xf numFmtId="0" fontId="18" fillId="13" borderId="12" xfId="0" applyNumberFormat="1" applyFont="1" applyFill="1" applyBorder="1" applyAlignment="1">
      <alignment horizontal="right" vertical="center" wrapText="1"/>
    </xf>
    <xf numFmtId="0" fontId="18" fillId="14" borderId="12" xfId="0" applyNumberFormat="1" applyFont="1" applyFill="1" applyBorder="1" applyAlignment="1">
      <alignment horizontal="right" vertical="center" wrapText="1"/>
    </xf>
    <xf numFmtId="0" fontId="18" fillId="15" borderId="12" xfId="0" applyNumberFormat="1" applyFont="1" applyFill="1" applyBorder="1" applyAlignment="1">
      <alignment horizontal="right" vertical="center" wrapText="1"/>
    </xf>
    <xf numFmtId="0" fontId="18" fillId="16" borderId="12" xfId="0" applyNumberFormat="1" applyFont="1" applyFill="1" applyBorder="1" applyAlignment="1">
      <alignment horizontal="right" vertical="center" wrapText="1"/>
    </xf>
    <xf numFmtId="0" fontId="18" fillId="10" borderId="12" xfId="0" applyNumberFormat="1" applyFont="1" applyFill="1" applyBorder="1" applyAlignment="1">
      <alignment horizontal="right" vertical="center" wrapText="1"/>
    </xf>
    <xf numFmtId="0" fontId="13" fillId="9" borderId="12" xfId="0" applyNumberFormat="1" applyFont="1" applyFill="1" applyBorder="1" applyAlignment="1">
      <alignment horizontal="center" vertical="center"/>
    </xf>
    <xf numFmtId="0" fontId="13" fillId="9" borderId="12" xfId="0" applyNumberFormat="1" applyFont="1" applyFill="1" applyBorder="1" applyAlignment="1">
      <alignment vertical="center" wrapText="1"/>
    </xf>
    <xf numFmtId="0" fontId="14" fillId="9" borderId="12" xfId="0" applyNumberFormat="1" applyFont="1" applyFill="1" applyBorder="1"/>
    <xf numFmtId="0" fontId="15" fillId="9" borderId="12" xfId="0" applyNumberFormat="1" applyFont="1" applyFill="1" applyBorder="1"/>
    <xf numFmtId="0" fontId="15" fillId="9" borderId="12" xfId="0" applyNumberFormat="1" applyFont="1" applyFill="1" applyBorder="1" applyAlignment="1">
      <alignment wrapText="1"/>
    </xf>
    <xf numFmtId="0" fontId="21" fillId="0" borderId="12" xfId="0" applyFont="1" applyBorder="1"/>
    <xf numFmtId="0" fontId="21" fillId="0" borderId="0" xfId="0" applyFont="1"/>
    <xf numFmtId="0" fontId="21" fillId="0" borderId="12" xfId="0" applyNumberFormat="1" applyFont="1" applyBorder="1" applyAlignment="1">
      <alignment horizontal="center"/>
    </xf>
    <xf numFmtId="0" fontId="21" fillId="0" borderId="12" xfId="0" applyNumberFormat="1" applyFont="1" applyBorder="1" applyAlignment="1">
      <alignment wrapText="1"/>
    </xf>
    <xf numFmtId="0" fontId="18" fillId="17" borderId="12" xfId="0" applyNumberFormat="1" applyFont="1" applyFill="1" applyBorder="1" applyAlignment="1">
      <alignment horizontal="center" vertical="center" wrapText="1"/>
    </xf>
    <xf numFmtId="0" fontId="21" fillId="0" borderId="12" xfId="0" applyNumberFormat="1" applyFont="1" applyBorder="1" applyAlignment="1">
      <alignment horizontal="center" wrapText="1"/>
    </xf>
    <xf numFmtId="0" fontId="18" fillId="18" borderId="12" xfId="0" applyNumberFormat="1" applyFont="1" applyFill="1" applyBorder="1" applyAlignment="1">
      <alignment horizontal="center" vertical="center" wrapText="1"/>
    </xf>
    <xf numFmtId="49" fontId="18" fillId="17" borderId="12" xfId="0" applyNumberFormat="1" applyFont="1" applyFill="1" applyBorder="1" applyAlignment="1">
      <alignment horizontal="center" vertical="center" wrapText="1"/>
    </xf>
    <xf numFmtId="0" fontId="13" fillId="9" borderId="12" xfId="0" applyNumberFormat="1" applyFont="1" applyFill="1" applyBorder="1" applyAlignment="1">
      <alignment vertical="center"/>
    </xf>
    <xf numFmtId="0" fontId="21" fillId="9" borderId="12" xfId="0" applyNumberFormat="1" applyFont="1" applyFill="1" applyBorder="1" applyAlignment="1">
      <alignment horizontal="center"/>
    </xf>
    <xf numFmtId="0" fontId="21" fillId="9" borderId="12" xfId="0" applyNumberFormat="1" applyFont="1" applyFill="1" applyBorder="1" applyAlignment="1">
      <alignment wrapText="1"/>
    </xf>
    <xf numFmtId="0" fontId="22" fillId="9" borderId="12" xfId="0" applyNumberFormat="1" applyFont="1" applyFill="1" applyBorder="1" applyAlignment="1">
      <alignment horizontal="center" vertical="center"/>
    </xf>
    <xf numFmtId="0" fontId="21" fillId="0" borderId="12" xfId="0" applyNumberFormat="1" applyFont="1" applyBorder="1"/>
    <xf numFmtId="49" fontId="21" fillId="0" borderId="12" xfId="0" applyNumberFormat="1" applyFont="1" applyFill="1" applyBorder="1" applyAlignment="1">
      <alignment horizontal="center"/>
    </xf>
    <xf numFmtId="0" fontId="22" fillId="0" borderId="12" xfId="0" applyNumberFormat="1" applyFont="1" applyBorder="1" applyAlignment="1">
      <alignment horizontal="center" vertical="center"/>
    </xf>
    <xf numFmtId="0" fontId="15" fillId="9" borderId="12" xfId="0" applyNumberFormat="1" applyFont="1" applyFill="1" applyBorder="1" applyAlignment="1">
      <alignment horizontal="center" vertical="center"/>
    </xf>
    <xf numFmtId="0" fontId="21" fillId="0" borderId="0" xfId="0" applyNumberFormat="1" applyFont="1"/>
    <xf numFmtId="0" fontId="22" fillId="11" borderId="12" xfId="0" applyNumberFormat="1" applyFont="1" applyFill="1" applyBorder="1" applyAlignment="1">
      <alignment horizontal="center" vertical="center"/>
    </xf>
    <xf numFmtId="0" fontId="22" fillId="0" borderId="12" xfId="0" applyNumberFormat="1" applyFont="1" applyFill="1" applyBorder="1" applyAlignment="1">
      <alignment horizontal="center" vertical="center"/>
    </xf>
    <xf numFmtId="0" fontId="22" fillId="19" borderId="12" xfId="0" applyNumberFormat="1" applyFont="1" applyFill="1" applyBorder="1" applyAlignment="1">
      <alignment horizontal="center" vertical="center"/>
    </xf>
    <xf numFmtId="0" fontId="23" fillId="0" borderId="12" xfId="0" applyNumberFormat="1" applyFont="1" applyFill="1" applyBorder="1" applyAlignment="1">
      <alignment horizontal="center" vertical="center"/>
    </xf>
    <xf numFmtId="0" fontId="22" fillId="12" borderId="12" xfId="0" applyNumberFormat="1" applyFont="1" applyFill="1" applyBorder="1" applyAlignment="1">
      <alignment horizontal="center" vertical="center"/>
    </xf>
    <xf numFmtId="0" fontId="15" fillId="8" borderId="12" xfId="0" applyNumberFormat="1" applyFont="1" applyFill="1" applyBorder="1" applyAlignment="1">
      <alignment horizontal="center" vertical="center"/>
    </xf>
    <xf numFmtId="0" fontId="15" fillId="12" borderId="12" xfId="0" applyNumberFormat="1" applyFont="1" applyFill="1" applyBorder="1" applyAlignment="1">
      <alignment horizontal="center" vertical="center"/>
    </xf>
    <xf numFmtId="0" fontId="24" fillId="0" borderId="1" xfId="0" applyFont="1" applyBorder="1" applyAlignment="1">
      <alignment horizontal="center" vertical="center" wrapText="1"/>
    </xf>
    <xf numFmtId="0" fontId="25" fillId="0" borderId="2" xfId="0" applyFont="1" applyBorder="1" applyAlignment="1">
      <alignment horizontal="center" vertical="center" wrapText="1"/>
    </xf>
    <xf numFmtId="14" fontId="26" fillId="8" borderId="3" xfId="0" applyNumberFormat="1" applyFont="1" applyFill="1" applyBorder="1" applyAlignment="1">
      <alignment horizontal="center" vertical="center" wrapText="1"/>
    </xf>
    <xf numFmtId="0" fontId="26" fillId="8" borderId="4" xfId="0" applyFont="1" applyFill="1" applyBorder="1" applyAlignment="1">
      <alignment horizontal="center" vertical="center" wrapText="1"/>
    </xf>
    <xf numFmtId="0" fontId="26" fillId="8" borderId="3" xfId="0" applyFont="1" applyFill="1" applyBorder="1" applyAlignment="1">
      <alignment horizontal="center" vertical="center" wrapText="1"/>
    </xf>
    <xf numFmtId="0" fontId="26" fillId="8" borderId="3" xfId="0" applyFont="1" applyFill="1" applyBorder="1" applyAlignment="1">
      <alignment horizontal="left" vertical="center" wrapText="1"/>
    </xf>
    <xf numFmtId="14" fontId="24" fillId="0" borderId="5" xfId="0" applyNumberFormat="1" applyFont="1" applyFill="1" applyBorder="1" applyAlignment="1">
      <alignment horizontal="center" vertical="center" wrapText="1"/>
    </xf>
    <xf numFmtId="0" fontId="24" fillId="0" borderId="5" xfId="0" applyFont="1" applyFill="1" applyBorder="1" applyAlignment="1">
      <alignment horizontal="center" vertical="center" wrapText="1"/>
    </xf>
    <xf numFmtId="0" fontId="24" fillId="0" borderId="5" xfId="0" applyFont="1" applyFill="1" applyBorder="1" applyAlignment="1">
      <alignment horizontal="left" vertical="center" wrapText="1"/>
    </xf>
    <xf numFmtId="14" fontId="24" fillId="0" borderId="5" xfId="0" applyNumberFormat="1" applyFont="1" applyBorder="1" applyAlignment="1">
      <alignment horizontal="center" vertical="center" wrapText="1"/>
    </xf>
    <xf numFmtId="0" fontId="24" fillId="0" borderId="5" xfId="0" applyFont="1" applyBorder="1" applyAlignment="1">
      <alignment horizontal="center" vertical="center" wrapText="1"/>
    </xf>
    <xf numFmtId="0" fontId="24" fillId="0" borderId="5" xfId="0" applyFont="1" applyBorder="1" applyAlignment="1">
      <alignment horizontal="left" vertical="center" wrapText="1"/>
    </xf>
    <xf numFmtId="0" fontId="27" fillId="0" borderId="5" xfId="0" applyFont="1" applyFill="1" applyBorder="1" applyAlignment="1">
      <alignment horizontal="center" vertical="center" wrapText="1"/>
    </xf>
    <xf numFmtId="0" fontId="24" fillId="3" borderId="5" xfId="0" applyFont="1" applyFill="1" applyBorder="1" applyAlignment="1">
      <alignment horizontal="center" vertical="center" wrapText="1"/>
    </xf>
    <xf numFmtId="0" fontId="21" fillId="0" borderId="5" xfId="0" applyFont="1" applyBorder="1"/>
    <xf numFmtId="0" fontId="23" fillId="12" borderId="12" xfId="0" applyNumberFormat="1" applyFont="1" applyFill="1" applyBorder="1" applyAlignment="1">
      <alignment horizontal="center" vertical="center"/>
    </xf>
    <xf numFmtId="0" fontId="23" fillId="11" borderId="12" xfId="0" applyNumberFormat="1" applyFont="1" applyFill="1" applyBorder="1" applyAlignment="1">
      <alignment horizontal="center" vertical="center"/>
    </xf>
    <xf numFmtId="0" fontId="21" fillId="20" borderId="0" xfId="0" applyFont="1" applyFill="1"/>
    <xf numFmtId="0" fontId="21" fillId="0" borderId="12" xfId="0" applyNumberFormat="1" applyFont="1" applyFill="1" applyBorder="1" applyAlignment="1">
      <alignment wrapText="1"/>
    </xf>
    <xf numFmtId="0" fontId="21" fillId="0" borderId="0" xfId="0" applyFont="1" applyAlignment="1"/>
    <xf numFmtId="0" fontId="28" fillId="20" borderId="0" xfId="0" applyFont="1" applyFill="1" applyAlignment="1"/>
    <xf numFmtId="0" fontId="21" fillId="20" borderId="12" xfId="0" applyNumberFormat="1" applyFont="1" applyFill="1" applyBorder="1" applyAlignment="1">
      <alignment wrapText="1"/>
    </xf>
    <xf numFmtId="49" fontId="15" fillId="8" borderId="12" xfId="0" applyNumberFormat="1" applyFont="1" applyFill="1" applyBorder="1" applyAlignment="1">
      <alignment horizontal="center"/>
    </xf>
    <xf numFmtId="14" fontId="4" fillId="2" borderId="6" xfId="0" applyNumberFormat="1" applyFont="1" applyFill="1" applyBorder="1" applyAlignment="1">
      <alignment horizontal="center" vertical="center" wrapText="1"/>
    </xf>
    <xf numFmtId="14" fontId="4" fillId="2" borderId="7" xfId="0" applyNumberFormat="1" applyFont="1" applyFill="1" applyBorder="1" applyAlignment="1">
      <alignment horizontal="center" vertical="center" wrapText="1"/>
    </xf>
    <xf numFmtId="14" fontId="4" fillId="2" borderId="8" xfId="0" applyNumberFormat="1" applyFont="1" applyFill="1" applyBorder="1" applyAlignment="1">
      <alignment horizontal="center" vertical="center" wrapText="1"/>
    </xf>
    <xf numFmtId="0" fontId="8" fillId="0" borderId="0" xfId="10" applyFill="1" applyAlignment="1">
      <alignment horizontal="left"/>
    </xf>
  </cellXfs>
  <cellStyles count="17">
    <cellStyle name="AutoFormat-Optionen" xfId="1"/>
    <cellStyle name="AutoFormat-Optionen 2" xfId="2"/>
    <cellStyle name="AutoFormat-Optionen 2 2" xfId="7"/>
    <cellStyle name="AutoFormat-Optionen 3" xfId="11"/>
    <cellStyle name="Normal 12" xfId="8"/>
    <cellStyle name="Normal 175" xfId="13"/>
    <cellStyle name="Normal 2" xfId="3"/>
    <cellStyle name="Normal 2 2" xfId="4"/>
    <cellStyle name="Normal 2 4" xfId="16"/>
    <cellStyle name="Normal 28" xfId="9"/>
    <cellStyle name="Normal 3" xfId="5"/>
    <cellStyle name="Normal 3 2" xfId="6"/>
    <cellStyle name="Normal 30" xfId="14"/>
    <cellStyle name="Normal 31" xfId="12"/>
    <cellStyle name="Normal 4" xfId="15"/>
    <cellStyle name="常规" xfId="0" builtinId="0"/>
    <cellStyle name="超链接" xfId="10" builtinId="8"/>
  </cellStyles>
  <dxfs count="331">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bgColor rgb="FFFF0000"/>
        </patternFill>
      </fill>
    </dxf>
    <dxf>
      <fill>
        <patternFill>
          <bgColor rgb="FFFFC000"/>
        </patternFill>
      </fill>
    </dxf>
    <dxf>
      <fill>
        <patternFill>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bgColor rgb="FFFF0000"/>
        </patternFill>
      </fill>
    </dxf>
    <dxf>
      <fill>
        <patternFill>
          <bgColor rgb="FFFFC000"/>
        </patternFill>
      </fill>
    </dxf>
    <dxf>
      <fill>
        <patternFill>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bgColor rgb="FFFF0000"/>
        </patternFill>
      </fill>
    </dxf>
    <dxf>
      <fill>
        <patternFill>
          <bgColor rgb="FFFFC000"/>
        </patternFill>
      </fill>
    </dxf>
    <dxf>
      <fill>
        <patternFill>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fgColor indexed="64"/>
          <bgColor rgb="FFFF0000"/>
        </patternFill>
      </fill>
    </dxf>
    <dxf>
      <fill>
        <patternFill>
          <fgColor indexed="64"/>
          <bgColor rgb="FFFFC000"/>
        </patternFill>
      </fill>
    </dxf>
    <dxf>
      <fill>
        <patternFill>
          <fgColor indexed="64"/>
          <bgColor rgb="FF92D050"/>
        </patternFill>
      </fill>
    </dxf>
    <dxf>
      <fill>
        <patternFill>
          <bgColor rgb="FFFF0000"/>
        </patternFill>
      </fill>
    </dxf>
    <dxf>
      <fill>
        <patternFill>
          <bgColor rgb="FFFFC000"/>
        </patternFill>
      </fill>
    </dxf>
    <dxf>
      <fill>
        <patternFill>
          <bgColor rgb="FF92D050"/>
        </patternFill>
      </fill>
    </dxf>
    <dxf>
      <fill>
        <patternFill>
          <fgColor indexed="64"/>
          <bgColor rgb="FFFFC000"/>
        </patternFill>
      </fill>
    </dxf>
    <dxf>
      <fill>
        <patternFill>
          <fgColor indexed="64"/>
          <bgColor rgb="FF92D050"/>
        </patternFill>
      </fill>
    </dxf>
    <dxf>
      <fill>
        <patternFill>
          <fgColor indexed="64"/>
          <bgColor rgb="FFFFC000"/>
        </patternFill>
      </fill>
    </dxf>
    <dxf>
      <fill>
        <patternFill>
          <fgColor indexed="64"/>
          <bgColor rgb="FF92D050"/>
        </patternFill>
      </fill>
    </dxf>
    <dxf>
      <fill>
        <patternFill>
          <fgColor indexed="64"/>
          <bgColor rgb="FFFFC000"/>
        </patternFill>
      </fill>
    </dxf>
    <dxf>
      <fill>
        <patternFill>
          <fgColor indexed="64"/>
          <bgColor rgb="FF92D050"/>
        </patternFill>
      </fill>
    </dxf>
    <dxf>
      <fill>
        <patternFill>
          <fgColor indexed="64"/>
          <bgColor rgb="FFFFC000"/>
        </patternFill>
      </fill>
    </dxf>
    <dxf>
      <fill>
        <patternFill>
          <fgColor indexed="64"/>
          <bgColor rgb="FF92D050"/>
        </patternFill>
      </fill>
    </dxf>
    <dxf>
      <fill>
        <patternFill>
          <fgColor indexed="64"/>
          <bgColor rgb="FFFFC000"/>
        </patternFill>
      </fill>
    </dxf>
    <dxf>
      <fill>
        <patternFill>
          <fgColor indexed="64"/>
          <bgColor rgb="FF92D050"/>
        </patternFill>
      </fill>
    </dxf>
    <dxf>
      <fill>
        <patternFill>
          <fgColor indexed="64"/>
          <bgColor rgb="FFFFC000"/>
        </patternFill>
      </fill>
    </dxf>
    <dxf>
      <fill>
        <patternFill>
          <fgColor indexed="64"/>
          <bgColor rgb="FF92D050"/>
        </patternFill>
      </fill>
    </dxf>
    <dxf>
      <fill>
        <patternFill>
          <fgColor indexed="64"/>
          <bgColor rgb="FFFFC000"/>
        </patternFill>
      </fill>
    </dxf>
    <dxf>
      <fill>
        <patternFill>
          <fgColor indexed="64"/>
          <bgColor rgb="FF92D050"/>
        </patternFill>
      </fill>
    </dxf>
    <dxf>
      <fill>
        <patternFill>
          <fgColor indexed="64"/>
          <bgColor rgb="FFFFC000"/>
        </patternFill>
      </fill>
    </dxf>
    <dxf>
      <fill>
        <patternFill>
          <fgColor indexed="64"/>
          <bgColor rgb="FF92D050"/>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hyperlink" Target="https://comm.sp.jlrint.com/sites/ProductInformation/PIBusProcImp/DataMan/Pages/DIY-Data.aspx" TargetMode="External"/><Relationship Id="rId1" Type="http://schemas.openxmlformats.org/officeDocument/2006/relationships/hyperlink" Target="https://comm.sp.jlrint.com/sites/PDPal/adPublished/Forms/AllDocuments.aspx?FilterField1=adID&amp;FilterValue1=LWI-P3O-004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34"/>
  <sheetViews>
    <sheetView tabSelected="1" zoomScale="90" zoomScaleNormal="90" workbookViewId="0">
      <pane ySplit="5" topLeftCell="A6" activePane="bottomLeft" state="frozen"/>
      <selection pane="bottomLeft" activeCell="B6" sqref="B6"/>
    </sheetView>
  </sheetViews>
  <sheetFormatPr defaultRowHeight="15" x14ac:dyDescent="0.25"/>
  <cols>
    <col min="1" max="6" width="25.625" style="45" customWidth="1"/>
    <col min="7" max="23" width="9.5" style="45" customWidth="1"/>
    <col min="24" max="24" width="6.5" style="45" bestFit="1" customWidth="1"/>
    <col min="25" max="25" width="38.125" style="45" customWidth="1"/>
    <col min="26" max="16384" width="9" style="45"/>
  </cols>
  <sheetData>
    <row r="1" spans="1:24" x14ac:dyDescent="0.25">
      <c r="A1" s="44"/>
      <c r="B1" s="44"/>
      <c r="C1" s="44"/>
      <c r="D1" s="44"/>
      <c r="E1" s="44"/>
      <c r="F1" s="44" t="str">
        <f>"# of Incomplete cars: "&amp;COUNTIF(G1:XFD1,"Incomplete")&amp;" of "&amp;COUNTIF(G1:XFD1,"Incomplete")+COUNTIF(G1:XFD1,"Complete")</f>
        <v># of Incomplete cars: 0 of 17</v>
      </c>
      <c r="G1" s="44" t="s">
        <v>3718</v>
      </c>
      <c r="H1" s="44" t="s">
        <v>3718</v>
      </c>
      <c r="I1" s="44" t="s">
        <v>3718</v>
      </c>
      <c r="J1" s="44" t="s">
        <v>3718</v>
      </c>
      <c r="K1" s="44" t="s">
        <v>3718</v>
      </c>
      <c r="L1" s="44" t="s">
        <v>3718</v>
      </c>
      <c r="M1" s="44" t="s">
        <v>3718</v>
      </c>
      <c r="N1" s="44" t="s">
        <v>3718</v>
      </c>
      <c r="O1" s="44" t="s">
        <v>3718</v>
      </c>
      <c r="P1" s="44" t="s">
        <v>3718</v>
      </c>
      <c r="Q1" s="44" t="s">
        <v>3718</v>
      </c>
      <c r="R1" s="44" t="s">
        <v>3718</v>
      </c>
      <c r="S1" s="44" t="s">
        <v>3718</v>
      </c>
      <c r="T1" s="44" t="s">
        <v>3718</v>
      </c>
      <c r="U1" s="44" t="s">
        <v>3718</v>
      </c>
      <c r="V1" s="44" t="s">
        <v>3718</v>
      </c>
      <c r="W1" s="44" t="s">
        <v>3718</v>
      </c>
    </row>
    <row r="2" spans="1:24" ht="65.25" x14ac:dyDescent="0.3">
      <c r="A2" s="27" t="s">
        <v>930</v>
      </c>
      <c r="B2" s="46"/>
      <c r="C2" s="28" t="s">
        <v>931</v>
      </c>
      <c r="D2" s="47"/>
      <c r="E2" s="47"/>
      <c r="F2" s="29" t="s">
        <v>8</v>
      </c>
      <c r="G2" s="48" t="s">
        <v>3586</v>
      </c>
      <c r="H2" s="48" t="s">
        <v>3586</v>
      </c>
      <c r="I2" s="48" t="s">
        <v>3586</v>
      </c>
      <c r="J2" s="48" t="s">
        <v>3586</v>
      </c>
      <c r="K2" s="48" t="s">
        <v>3586</v>
      </c>
      <c r="L2" s="48" t="s">
        <v>3586</v>
      </c>
      <c r="M2" s="48" t="s">
        <v>3586</v>
      </c>
      <c r="N2" s="48" t="s">
        <v>3586</v>
      </c>
      <c r="O2" s="48" t="s">
        <v>3586</v>
      </c>
      <c r="P2" s="48" t="s">
        <v>3586</v>
      </c>
      <c r="Q2" s="48" t="s">
        <v>3586</v>
      </c>
      <c r="R2" s="48" t="s">
        <v>3586</v>
      </c>
      <c r="S2" s="48" t="s">
        <v>3586</v>
      </c>
      <c r="T2" s="48" t="s">
        <v>3586</v>
      </c>
      <c r="U2" s="48" t="s">
        <v>3586</v>
      </c>
      <c r="V2" s="48" t="s">
        <v>3586</v>
      </c>
      <c r="W2" s="48" t="s">
        <v>3586</v>
      </c>
    </row>
    <row r="3" spans="1:24" ht="56.25" x14ac:dyDescent="0.3">
      <c r="A3" s="30" t="s">
        <v>970</v>
      </c>
      <c r="B3" s="49" t="s">
        <v>936</v>
      </c>
      <c r="C3" s="47"/>
      <c r="D3" s="47"/>
      <c r="E3" s="47"/>
      <c r="F3" s="29" t="s">
        <v>9</v>
      </c>
      <c r="G3" s="48" t="s">
        <v>3580</v>
      </c>
      <c r="H3" s="48" t="s">
        <v>3580</v>
      </c>
      <c r="I3" s="48" t="s">
        <v>3580</v>
      </c>
      <c r="J3" s="48" t="s">
        <v>3580</v>
      </c>
      <c r="K3" s="48" t="s">
        <v>3580</v>
      </c>
      <c r="L3" s="48" t="s">
        <v>3580</v>
      </c>
      <c r="M3" s="48" t="s">
        <v>3580</v>
      </c>
      <c r="N3" s="48" t="s">
        <v>3580</v>
      </c>
      <c r="O3" s="48" t="s">
        <v>3580</v>
      </c>
      <c r="P3" s="48" t="s">
        <v>3580</v>
      </c>
      <c r="Q3" s="48" t="s">
        <v>3580</v>
      </c>
      <c r="R3" s="48" t="s">
        <v>3580</v>
      </c>
      <c r="S3" s="48" t="s">
        <v>3580</v>
      </c>
      <c r="T3" s="48" t="s">
        <v>3580</v>
      </c>
      <c r="U3" s="48" t="s">
        <v>3580</v>
      </c>
      <c r="V3" s="48" t="s">
        <v>3580</v>
      </c>
      <c r="W3" s="48" t="s">
        <v>3580</v>
      </c>
    </row>
    <row r="4" spans="1:24" ht="45" x14ac:dyDescent="0.3">
      <c r="A4" s="31" t="s">
        <v>932</v>
      </c>
      <c r="B4" s="46" t="s">
        <v>3579</v>
      </c>
      <c r="C4" s="47"/>
      <c r="D4" s="47"/>
      <c r="E4" s="47"/>
      <c r="F4" s="29" t="s">
        <v>10</v>
      </c>
      <c r="G4" s="48" t="s">
        <v>3591</v>
      </c>
      <c r="H4" s="48" t="s">
        <v>3592</v>
      </c>
      <c r="I4" s="48" t="s">
        <v>3592</v>
      </c>
      <c r="J4" s="48" t="s">
        <v>3593</v>
      </c>
      <c r="K4" s="48" t="s">
        <v>3593</v>
      </c>
      <c r="L4" s="48" t="s">
        <v>3593</v>
      </c>
      <c r="M4" s="48" t="s">
        <v>3581</v>
      </c>
      <c r="N4" s="48" t="s">
        <v>3581</v>
      </c>
      <c r="O4" s="48" t="s">
        <v>3592</v>
      </c>
      <c r="P4" s="48" t="s">
        <v>3581</v>
      </c>
      <c r="Q4" s="48" t="s">
        <v>3581</v>
      </c>
      <c r="R4" s="48" t="s">
        <v>3581</v>
      </c>
      <c r="S4" s="48" t="s">
        <v>3591</v>
      </c>
      <c r="T4" s="48" t="s">
        <v>3581</v>
      </c>
      <c r="U4" s="48" t="s">
        <v>3592</v>
      </c>
      <c r="V4" s="48" t="s">
        <v>3581</v>
      </c>
      <c r="W4" s="48" t="s">
        <v>3592</v>
      </c>
    </row>
    <row r="5" spans="1:24" ht="30" x14ac:dyDescent="0.3">
      <c r="A5" s="31" t="s">
        <v>933</v>
      </c>
      <c r="B5" s="46" t="s">
        <v>3721</v>
      </c>
      <c r="C5" s="47"/>
      <c r="D5" s="47"/>
      <c r="E5" s="47"/>
      <c r="F5" s="29" t="s">
        <v>11</v>
      </c>
      <c r="G5" s="48" t="s">
        <v>2524</v>
      </c>
      <c r="H5" s="48" t="s">
        <v>2528</v>
      </c>
      <c r="I5" s="48" t="s">
        <v>2532</v>
      </c>
      <c r="J5" s="48" t="s">
        <v>2536</v>
      </c>
      <c r="K5" s="48" t="s">
        <v>2536</v>
      </c>
      <c r="L5" s="48" t="s">
        <v>3594</v>
      </c>
      <c r="M5" s="48" t="s">
        <v>2540</v>
      </c>
      <c r="N5" s="48" t="s">
        <v>2540</v>
      </c>
      <c r="O5" s="48" t="s">
        <v>2528</v>
      </c>
      <c r="P5" s="48" t="s">
        <v>2540</v>
      </c>
      <c r="Q5" s="48" t="s">
        <v>2540</v>
      </c>
      <c r="R5" s="48" t="s">
        <v>2540</v>
      </c>
      <c r="S5" s="48" t="s">
        <v>2524</v>
      </c>
      <c r="T5" s="48" t="s">
        <v>2540</v>
      </c>
      <c r="U5" s="48" t="s">
        <v>2532</v>
      </c>
      <c r="V5" s="48" t="s">
        <v>2540</v>
      </c>
      <c r="W5" s="48" t="s">
        <v>2532</v>
      </c>
    </row>
    <row r="6" spans="1:24" ht="18.75" x14ac:dyDescent="0.3">
      <c r="A6" s="31"/>
      <c r="B6" s="46" t="s">
        <v>3578</v>
      </c>
      <c r="C6" s="47"/>
      <c r="D6" s="47"/>
      <c r="E6" s="47"/>
      <c r="F6" s="29" t="s">
        <v>12</v>
      </c>
      <c r="G6" s="50" t="s">
        <v>1352</v>
      </c>
      <c r="H6" s="50" t="s">
        <v>1352</v>
      </c>
      <c r="I6" s="50" t="s">
        <v>1352</v>
      </c>
      <c r="J6" s="50" t="s">
        <v>1356</v>
      </c>
      <c r="K6" s="50" t="s">
        <v>1356</v>
      </c>
      <c r="L6" s="50" t="s">
        <v>1356</v>
      </c>
      <c r="M6" s="50" t="s">
        <v>1348</v>
      </c>
      <c r="N6" s="50" t="s">
        <v>1348</v>
      </c>
      <c r="O6" s="50" t="s">
        <v>1352</v>
      </c>
      <c r="P6" s="50" t="s">
        <v>1348</v>
      </c>
      <c r="Q6" s="50" t="s">
        <v>1348</v>
      </c>
      <c r="R6" s="50" t="s">
        <v>1348</v>
      </c>
      <c r="S6" s="50" t="s">
        <v>1352</v>
      </c>
      <c r="T6" s="50" t="s">
        <v>1348</v>
      </c>
      <c r="U6" s="50" t="s">
        <v>1352</v>
      </c>
      <c r="V6" s="50" t="s">
        <v>1348</v>
      </c>
      <c r="W6" s="50" t="s">
        <v>1352</v>
      </c>
    </row>
    <row r="7" spans="1:24" ht="18.75" x14ac:dyDescent="0.3">
      <c r="A7" s="31"/>
      <c r="B7" s="46"/>
      <c r="C7" s="47"/>
      <c r="D7" s="47"/>
      <c r="E7" s="47"/>
      <c r="F7" s="29" t="s">
        <v>13</v>
      </c>
      <c r="G7" s="48" t="s">
        <v>3595</v>
      </c>
      <c r="H7" s="48" t="s">
        <v>3596</v>
      </c>
      <c r="I7" s="48" t="s">
        <v>3597</v>
      </c>
      <c r="J7" s="48" t="s">
        <v>3598</v>
      </c>
      <c r="K7" s="48" t="s">
        <v>3598</v>
      </c>
      <c r="L7" s="48" t="s">
        <v>3599</v>
      </c>
      <c r="M7" s="48" t="s">
        <v>3582</v>
      </c>
      <c r="N7" s="48" t="s">
        <v>3582</v>
      </c>
      <c r="O7" s="48" t="s">
        <v>3596</v>
      </c>
      <c r="P7" s="48" t="s">
        <v>3582</v>
      </c>
      <c r="Q7" s="48" t="s">
        <v>3582</v>
      </c>
      <c r="R7" s="48" t="s">
        <v>3582</v>
      </c>
      <c r="S7" s="48" t="s">
        <v>3595</v>
      </c>
      <c r="T7" s="48" t="s">
        <v>3582</v>
      </c>
      <c r="U7" s="48" t="s">
        <v>3597</v>
      </c>
      <c r="V7" s="48" t="s">
        <v>3582</v>
      </c>
      <c r="W7" s="48" t="s">
        <v>3597</v>
      </c>
    </row>
    <row r="8" spans="1:24" ht="18.75" x14ac:dyDescent="0.3">
      <c r="A8" s="31"/>
      <c r="B8" s="46"/>
      <c r="C8" s="47"/>
      <c r="D8" s="47"/>
      <c r="E8" s="47"/>
      <c r="F8" s="29" t="s">
        <v>14</v>
      </c>
      <c r="G8" s="50" t="s">
        <v>3251</v>
      </c>
      <c r="H8" s="50" t="s">
        <v>3255</v>
      </c>
      <c r="I8" s="50" t="s">
        <v>3259</v>
      </c>
      <c r="J8" s="50" t="s">
        <v>3263</v>
      </c>
      <c r="K8" s="50" t="s">
        <v>3263</v>
      </c>
      <c r="L8" s="50" t="s">
        <v>3600</v>
      </c>
      <c r="M8" s="50" t="s">
        <v>3267</v>
      </c>
      <c r="N8" s="50" t="s">
        <v>3267</v>
      </c>
      <c r="O8" s="50" t="s">
        <v>3255</v>
      </c>
      <c r="P8" s="50" t="s">
        <v>3267</v>
      </c>
      <c r="Q8" s="50" t="s">
        <v>3267</v>
      </c>
      <c r="R8" s="50" t="s">
        <v>3267</v>
      </c>
      <c r="S8" s="50" t="s">
        <v>3251</v>
      </c>
      <c r="T8" s="50" t="s">
        <v>3267</v>
      </c>
      <c r="U8" s="50" t="s">
        <v>3259</v>
      </c>
      <c r="V8" s="50" t="s">
        <v>3267</v>
      </c>
      <c r="W8" s="50" t="s">
        <v>3259</v>
      </c>
    </row>
    <row r="9" spans="1:24" ht="18.75" x14ac:dyDescent="0.3">
      <c r="A9" s="31"/>
      <c r="B9" s="46"/>
      <c r="C9" s="47"/>
      <c r="D9" s="47"/>
      <c r="E9" s="47"/>
      <c r="F9" s="29" t="s">
        <v>934</v>
      </c>
      <c r="G9" s="48" t="s">
        <v>283</v>
      </c>
      <c r="H9" s="48" t="s">
        <v>283</v>
      </c>
      <c r="I9" s="48" t="s">
        <v>283</v>
      </c>
      <c r="J9" s="48" t="s">
        <v>283</v>
      </c>
      <c r="K9" s="48" t="s">
        <v>283</v>
      </c>
      <c r="L9" s="48" t="s">
        <v>283</v>
      </c>
      <c r="M9" s="48" t="s">
        <v>283</v>
      </c>
      <c r="N9" s="48" t="s">
        <v>283</v>
      </c>
      <c r="O9" s="48" t="s">
        <v>283</v>
      </c>
      <c r="P9" s="48" t="s">
        <v>283</v>
      </c>
      <c r="Q9" s="48" t="s">
        <v>283</v>
      </c>
      <c r="R9" s="48" t="s">
        <v>283</v>
      </c>
      <c r="S9" s="48" t="s">
        <v>283</v>
      </c>
      <c r="T9" s="48" t="s">
        <v>283</v>
      </c>
      <c r="U9" s="48" t="s">
        <v>283</v>
      </c>
      <c r="V9" s="48" t="s">
        <v>283</v>
      </c>
      <c r="W9" s="48" t="s">
        <v>283</v>
      </c>
    </row>
    <row r="10" spans="1:24" ht="18.75" x14ac:dyDescent="0.3">
      <c r="A10" s="31"/>
      <c r="B10" s="46"/>
      <c r="C10" s="47"/>
      <c r="D10" s="47"/>
      <c r="E10" s="47"/>
      <c r="F10" s="29" t="s">
        <v>16</v>
      </c>
      <c r="G10" s="48" t="s">
        <v>3583</v>
      </c>
      <c r="H10" s="48" t="s">
        <v>3583</v>
      </c>
      <c r="I10" s="48" t="s">
        <v>3583</v>
      </c>
      <c r="J10" s="48" t="s">
        <v>3583</v>
      </c>
      <c r="K10" s="48" t="s">
        <v>3583</v>
      </c>
      <c r="L10" s="48" t="s">
        <v>3583</v>
      </c>
      <c r="M10" s="48" t="s">
        <v>3583</v>
      </c>
      <c r="N10" s="48" t="s">
        <v>3583</v>
      </c>
      <c r="O10" s="48" t="s">
        <v>3583</v>
      </c>
      <c r="P10" s="48" t="s">
        <v>3583</v>
      </c>
      <c r="Q10" s="48" t="s">
        <v>3583</v>
      </c>
      <c r="R10" s="48" t="s">
        <v>3583</v>
      </c>
      <c r="S10" s="48" t="s">
        <v>3583</v>
      </c>
      <c r="T10" s="48" t="s">
        <v>3583</v>
      </c>
      <c r="U10" s="48" t="s">
        <v>3583</v>
      </c>
      <c r="V10" s="48" t="s">
        <v>3583</v>
      </c>
      <c r="W10" s="48" t="s">
        <v>3583</v>
      </c>
    </row>
    <row r="11" spans="1:24" ht="75" x14ac:dyDescent="0.25">
      <c r="A11" s="29" t="s">
        <v>955</v>
      </c>
      <c r="B11" s="29" t="s">
        <v>956</v>
      </c>
      <c r="C11" s="29"/>
      <c r="D11" s="29" t="s">
        <v>935</v>
      </c>
      <c r="E11" s="29"/>
      <c r="F11" s="29" t="s">
        <v>40</v>
      </c>
      <c r="G11" s="48" t="s">
        <v>3719</v>
      </c>
      <c r="H11" s="48" t="s">
        <v>3722</v>
      </c>
      <c r="I11" s="48" t="s">
        <v>3724</v>
      </c>
      <c r="J11" s="48" t="s">
        <v>3726</v>
      </c>
      <c r="K11" s="48" t="s">
        <v>3728</v>
      </c>
      <c r="L11" s="48" t="s">
        <v>3722</v>
      </c>
      <c r="M11" s="48" t="s">
        <v>3726</v>
      </c>
      <c r="N11" s="48" t="s">
        <v>3731</v>
      </c>
      <c r="O11" s="48" t="s">
        <v>3732</v>
      </c>
      <c r="P11" s="48" t="s">
        <v>3732</v>
      </c>
      <c r="Q11" s="48" t="s">
        <v>3735</v>
      </c>
      <c r="R11" s="48" t="s">
        <v>3735</v>
      </c>
      <c r="S11" s="48" t="s">
        <v>3732</v>
      </c>
      <c r="T11" s="48" t="s">
        <v>3736</v>
      </c>
      <c r="U11" s="48" t="s">
        <v>3722</v>
      </c>
      <c r="V11" s="48" t="s">
        <v>3736</v>
      </c>
      <c r="W11" s="48" t="s">
        <v>3722</v>
      </c>
    </row>
    <row r="12" spans="1:24" x14ac:dyDescent="0.25">
      <c r="A12" s="29" t="s">
        <v>957</v>
      </c>
      <c r="B12" s="29"/>
      <c r="C12" s="29"/>
      <c r="D12" s="29"/>
      <c r="E12" s="29"/>
      <c r="F12" s="29" t="s">
        <v>18</v>
      </c>
      <c r="G12" s="48"/>
      <c r="H12" s="48"/>
      <c r="I12" s="48"/>
      <c r="J12" s="48"/>
      <c r="K12" s="48"/>
      <c r="L12" s="48"/>
      <c r="M12" s="48"/>
      <c r="N12" s="48"/>
      <c r="O12" s="48"/>
      <c r="P12" s="48"/>
      <c r="Q12" s="48"/>
      <c r="R12" s="48"/>
      <c r="S12" s="48"/>
      <c r="T12" s="48"/>
      <c r="U12" s="48"/>
      <c r="V12" s="48"/>
      <c r="W12" s="48"/>
    </row>
    <row r="13" spans="1:24" x14ac:dyDescent="0.25">
      <c r="A13" s="29" t="s">
        <v>958</v>
      </c>
      <c r="B13" s="29" t="s">
        <v>959</v>
      </c>
      <c r="C13" s="29" t="s">
        <v>960</v>
      </c>
      <c r="D13" s="29"/>
      <c r="E13" s="29"/>
      <c r="F13" s="29" t="s">
        <v>17</v>
      </c>
      <c r="G13" s="48"/>
      <c r="H13" s="48"/>
      <c r="I13" s="48"/>
      <c r="J13" s="48"/>
      <c r="K13" s="48"/>
      <c r="L13" s="48"/>
      <c r="M13" s="48"/>
      <c r="N13" s="48"/>
      <c r="O13" s="48"/>
      <c r="P13" s="48"/>
      <c r="Q13" s="48"/>
      <c r="R13" s="48"/>
      <c r="S13" s="48"/>
      <c r="T13" s="48"/>
      <c r="U13" s="48"/>
      <c r="V13" s="48"/>
      <c r="W13" s="48"/>
    </row>
    <row r="14" spans="1:24" ht="30" x14ac:dyDescent="0.25">
      <c r="A14" s="29" t="s">
        <v>961</v>
      </c>
      <c r="B14" s="29" t="s">
        <v>962</v>
      </c>
      <c r="C14" s="29" t="s">
        <v>963</v>
      </c>
      <c r="D14" s="29"/>
      <c r="E14" s="29"/>
      <c r="F14" s="29" t="s">
        <v>19</v>
      </c>
      <c r="G14" s="48"/>
      <c r="H14" s="48"/>
      <c r="I14" s="48"/>
      <c r="J14" s="48"/>
      <c r="K14" s="48"/>
      <c r="L14" s="48"/>
      <c r="M14" s="48"/>
      <c r="N14" s="48"/>
      <c r="O14" s="48"/>
      <c r="P14" s="48"/>
      <c r="Q14" s="48"/>
      <c r="R14" s="48"/>
      <c r="S14" s="48"/>
      <c r="T14" s="48"/>
      <c r="U14" s="48"/>
      <c r="V14" s="48"/>
      <c r="W14" s="48"/>
    </row>
    <row r="15" spans="1:24" ht="30" x14ac:dyDescent="0.25">
      <c r="A15" s="29" t="s">
        <v>964</v>
      </c>
      <c r="B15" s="29" t="s">
        <v>965</v>
      </c>
      <c r="C15" s="29" t="s">
        <v>966</v>
      </c>
      <c r="D15" s="29"/>
      <c r="E15" s="29"/>
      <c r="F15" s="29" t="s">
        <v>23</v>
      </c>
      <c r="G15" s="48" t="s">
        <v>3720</v>
      </c>
      <c r="H15" s="48" t="s">
        <v>3723</v>
      </c>
      <c r="I15" s="48" t="s">
        <v>3725</v>
      </c>
      <c r="J15" s="48" t="s">
        <v>3727</v>
      </c>
      <c r="K15" s="48" t="s">
        <v>3729</v>
      </c>
      <c r="L15" s="48" t="s">
        <v>3730</v>
      </c>
      <c r="M15" s="48" t="s">
        <v>3715</v>
      </c>
      <c r="N15" s="48" t="s">
        <v>3711</v>
      </c>
      <c r="O15" s="48" t="s">
        <v>3733</v>
      </c>
      <c r="P15" s="48" t="s">
        <v>3734</v>
      </c>
      <c r="Q15" s="48" t="s">
        <v>3734</v>
      </c>
      <c r="R15" s="48" t="s">
        <v>3715</v>
      </c>
      <c r="S15" s="48" t="s">
        <v>3733</v>
      </c>
      <c r="T15" s="48" t="s">
        <v>3737</v>
      </c>
      <c r="U15" s="48" t="s">
        <v>3725</v>
      </c>
      <c r="V15" s="48" t="s">
        <v>3711</v>
      </c>
      <c r="W15" s="48" t="s">
        <v>3725</v>
      </c>
      <c r="X15" s="85"/>
    </row>
    <row r="16" spans="1:24" x14ac:dyDescent="0.25">
      <c r="A16" s="29" t="s">
        <v>967</v>
      </c>
      <c r="B16" s="29" t="s">
        <v>968</v>
      </c>
      <c r="C16" s="29" t="s">
        <v>969</v>
      </c>
      <c r="D16" s="29"/>
      <c r="E16" s="29"/>
      <c r="F16" s="29" t="s">
        <v>71</v>
      </c>
      <c r="G16" s="48" t="s">
        <v>525</v>
      </c>
      <c r="H16" s="48" t="s">
        <v>525</v>
      </c>
      <c r="I16" s="48" t="s">
        <v>525</v>
      </c>
      <c r="J16" s="48" t="s">
        <v>525</v>
      </c>
      <c r="K16" s="48" t="s">
        <v>525</v>
      </c>
      <c r="L16" s="48" t="s">
        <v>525</v>
      </c>
      <c r="M16" s="48" t="s">
        <v>525</v>
      </c>
      <c r="N16" s="48" t="s">
        <v>525</v>
      </c>
      <c r="O16" s="48" t="s">
        <v>525</v>
      </c>
      <c r="P16" s="48" t="s">
        <v>525</v>
      </c>
      <c r="Q16" s="48" t="s">
        <v>525</v>
      </c>
      <c r="R16" s="48" t="s">
        <v>525</v>
      </c>
      <c r="S16" s="48" t="s">
        <v>525</v>
      </c>
      <c r="T16" s="48" t="s">
        <v>525</v>
      </c>
      <c r="U16" s="48" t="s">
        <v>525</v>
      </c>
      <c r="V16" s="48" t="s">
        <v>525</v>
      </c>
      <c r="W16" s="48" t="s">
        <v>525</v>
      </c>
    </row>
    <row r="17" spans="1:23" x14ac:dyDescent="0.25">
      <c r="A17" s="29" t="s">
        <v>972</v>
      </c>
      <c r="B17" s="32" t="s">
        <v>973</v>
      </c>
      <c r="C17" s="29"/>
      <c r="D17" s="29"/>
      <c r="E17" s="29"/>
      <c r="F17" s="29" t="s">
        <v>113</v>
      </c>
      <c r="G17" s="48" t="s">
        <v>3587</v>
      </c>
      <c r="H17" s="48" t="s">
        <v>3587</v>
      </c>
      <c r="I17" s="48" t="s">
        <v>3587</v>
      </c>
      <c r="J17" s="48" t="s">
        <v>3587</v>
      </c>
      <c r="K17" s="48" t="s">
        <v>3587</v>
      </c>
      <c r="L17" s="48" t="s">
        <v>3587</v>
      </c>
      <c r="M17" s="48" t="s">
        <v>3587</v>
      </c>
      <c r="N17" s="48" t="s">
        <v>3587</v>
      </c>
      <c r="O17" s="48" t="s">
        <v>3587</v>
      </c>
      <c r="P17" s="48" t="s">
        <v>3587</v>
      </c>
      <c r="Q17" s="48" t="s">
        <v>3587</v>
      </c>
      <c r="R17" s="48" t="s">
        <v>3587</v>
      </c>
      <c r="S17" s="48" t="s">
        <v>3587</v>
      </c>
      <c r="T17" s="48" t="s">
        <v>3587</v>
      </c>
      <c r="U17" s="48" t="s">
        <v>3587</v>
      </c>
      <c r="V17" s="48" t="s">
        <v>3587</v>
      </c>
      <c r="W17" s="48" t="s">
        <v>3587</v>
      </c>
    </row>
    <row r="18" spans="1:23" x14ac:dyDescent="0.25">
      <c r="A18" s="29"/>
      <c r="B18" s="33" t="s">
        <v>974</v>
      </c>
      <c r="C18" s="29"/>
      <c r="D18" s="29"/>
      <c r="E18" s="29"/>
      <c r="F18" s="29" t="s">
        <v>48</v>
      </c>
      <c r="G18" s="48"/>
      <c r="H18" s="48"/>
      <c r="I18" s="48"/>
      <c r="J18" s="48"/>
      <c r="K18" s="48"/>
      <c r="L18" s="48"/>
      <c r="M18" s="48"/>
      <c r="N18" s="48"/>
      <c r="O18" s="48"/>
      <c r="P18" s="48"/>
      <c r="Q18" s="48"/>
      <c r="R18" s="48"/>
      <c r="S18" s="48"/>
      <c r="T18" s="48"/>
      <c r="U18" s="48"/>
      <c r="V18" s="48"/>
      <c r="W18" s="48"/>
    </row>
    <row r="19" spans="1:23" ht="30" x14ac:dyDescent="0.25">
      <c r="A19" s="29"/>
      <c r="B19" s="34" t="s">
        <v>975</v>
      </c>
      <c r="C19" s="29"/>
      <c r="D19" s="29"/>
      <c r="E19" s="29"/>
      <c r="F19" s="29" t="s">
        <v>49</v>
      </c>
      <c r="G19" s="48"/>
      <c r="H19" s="48"/>
      <c r="I19" s="48"/>
      <c r="J19" s="48"/>
      <c r="K19" s="48"/>
      <c r="L19" s="48"/>
      <c r="M19" s="48"/>
      <c r="N19" s="48"/>
      <c r="O19" s="48"/>
      <c r="P19" s="48"/>
      <c r="Q19" s="48"/>
      <c r="R19" s="48"/>
      <c r="S19" s="48"/>
      <c r="T19" s="48"/>
      <c r="U19" s="48"/>
      <c r="V19" s="48"/>
      <c r="W19" s="48"/>
    </row>
    <row r="20" spans="1:23" x14ac:dyDescent="0.25">
      <c r="A20" s="29"/>
      <c r="B20" s="35" t="s">
        <v>976</v>
      </c>
      <c r="C20" s="29"/>
      <c r="D20" s="29"/>
      <c r="E20" s="29"/>
      <c r="F20" s="29" t="s">
        <v>50</v>
      </c>
      <c r="G20" s="48"/>
      <c r="H20" s="48"/>
      <c r="I20" s="48"/>
      <c r="J20" s="48"/>
      <c r="K20" s="48"/>
      <c r="L20" s="48"/>
      <c r="M20" s="48"/>
      <c r="N20" s="48"/>
      <c r="O20" s="48"/>
      <c r="P20" s="48"/>
      <c r="Q20" s="48"/>
      <c r="R20" s="48"/>
      <c r="S20" s="48"/>
      <c r="T20" s="48"/>
      <c r="U20" s="48"/>
      <c r="V20" s="48"/>
      <c r="W20" s="48"/>
    </row>
    <row r="21" spans="1:23" ht="45" x14ac:dyDescent="0.25">
      <c r="A21" s="29"/>
      <c r="B21" s="36" t="s">
        <v>977</v>
      </c>
      <c r="C21" s="29"/>
      <c r="D21" s="29"/>
      <c r="E21" s="29"/>
      <c r="F21" s="29" t="s">
        <v>51</v>
      </c>
      <c r="G21" s="48"/>
      <c r="H21" s="48"/>
      <c r="I21" s="48"/>
      <c r="J21" s="48"/>
      <c r="K21" s="48"/>
      <c r="L21" s="48"/>
      <c r="M21" s="48"/>
      <c r="N21" s="48"/>
      <c r="O21" s="48"/>
      <c r="P21" s="48"/>
      <c r="Q21" s="48"/>
      <c r="R21" s="48"/>
      <c r="S21" s="48"/>
      <c r="T21" s="48"/>
      <c r="U21" s="48"/>
      <c r="V21" s="48"/>
      <c r="W21" s="48"/>
    </row>
    <row r="22" spans="1:23" ht="60" x14ac:dyDescent="0.25">
      <c r="A22" s="29"/>
      <c r="B22" s="37" t="s">
        <v>978</v>
      </c>
      <c r="C22" s="29"/>
      <c r="D22" s="29"/>
      <c r="E22" s="29"/>
      <c r="F22" s="29" t="s">
        <v>937</v>
      </c>
      <c r="G22" s="48"/>
      <c r="H22" s="48"/>
      <c r="I22" s="48"/>
      <c r="J22" s="48"/>
      <c r="K22" s="48"/>
      <c r="L22" s="48"/>
      <c r="M22" s="48"/>
      <c r="N22" s="48"/>
      <c r="O22" s="48"/>
      <c r="P22" s="48"/>
      <c r="Q22" s="48"/>
      <c r="R22" s="48"/>
      <c r="S22" s="48"/>
      <c r="T22" s="48"/>
      <c r="U22" s="48"/>
      <c r="V22" s="48"/>
      <c r="W22" s="48"/>
    </row>
    <row r="23" spans="1:23" ht="30" x14ac:dyDescent="0.25">
      <c r="A23" s="29"/>
      <c r="B23" s="29"/>
      <c r="C23" s="29"/>
      <c r="D23" s="29"/>
      <c r="E23" s="29"/>
      <c r="F23" s="29" t="s">
        <v>52</v>
      </c>
      <c r="G23" s="48" t="s">
        <v>3601</v>
      </c>
      <c r="H23" s="48" t="s">
        <v>3601</v>
      </c>
      <c r="I23" s="48" t="s">
        <v>3601</v>
      </c>
      <c r="J23" s="48" t="s">
        <v>3601</v>
      </c>
      <c r="K23" s="48" t="s">
        <v>3601</v>
      </c>
      <c r="L23" s="48" t="s">
        <v>3601</v>
      </c>
      <c r="M23" s="48" t="s">
        <v>3601</v>
      </c>
      <c r="N23" s="48" t="s">
        <v>3601</v>
      </c>
      <c r="O23" s="48" t="s">
        <v>3602</v>
      </c>
      <c r="P23" s="48" t="s">
        <v>3602</v>
      </c>
      <c r="Q23" s="48" t="s">
        <v>3603</v>
      </c>
      <c r="R23" s="48" t="s">
        <v>3604</v>
      </c>
      <c r="S23" s="48" t="s">
        <v>3604</v>
      </c>
      <c r="T23" s="48" t="s">
        <v>3714</v>
      </c>
      <c r="U23" s="48" t="s">
        <v>3714</v>
      </c>
      <c r="V23" s="48" t="s">
        <v>3714</v>
      </c>
      <c r="W23" s="48" t="s">
        <v>3714</v>
      </c>
    </row>
    <row r="24" spans="1:23" x14ac:dyDescent="0.25">
      <c r="A24" s="29"/>
      <c r="B24" s="29"/>
      <c r="C24" s="29"/>
      <c r="D24" s="29"/>
      <c r="E24" s="29"/>
      <c r="F24" s="29" t="s">
        <v>54</v>
      </c>
      <c r="G24" s="48" t="s">
        <v>3605</v>
      </c>
      <c r="H24" s="48" t="s">
        <v>3605</v>
      </c>
      <c r="I24" s="48" t="s">
        <v>3605</v>
      </c>
      <c r="J24" s="48" t="s">
        <v>3605</v>
      </c>
      <c r="K24" s="48" t="s">
        <v>3605</v>
      </c>
      <c r="L24" s="48" t="s">
        <v>3605</v>
      </c>
      <c r="M24" s="48" t="s">
        <v>3605</v>
      </c>
      <c r="N24" s="48" t="s">
        <v>3605</v>
      </c>
      <c r="O24" s="48" t="s">
        <v>3606</v>
      </c>
      <c r="P24" s="48" t="s">
        <v>3606</v>
      </c>
      <c r="Q24" s="48" t="s">
        <v>3606</v>
      </c>
      <c r="R24" s="48" t="s">
        <v>3607</v>
      </c>
      <c r="S24" s="48" t="s">
        <v>3607</v>
      </c>
      <c r="T24" s="48" t="s">
        <v>3662</v>
      </c>
      <c r="U24" s="48" t="s">
        <v>3662</v>
      </c>
      <c r="V24" s="48" t="s">
        <v>3662</v>
      </c>
      <c r="W24" s="48" t="s">
        <v>3662</v>
      </c>
    </row>
    <row r="25" spans="1:23" ht="30" x14ac:dyDescent="0.25">
      <c r="A25" s="29"/>
      <c r="B25" s="29"/>
      <c r="C25" s="29"/>
      <c r="D25" s="29"/>
      <c r="E25" s="29"/>
      <c r="F25" s="29" t="s">
        <v>56</v>
      </c>
      <c r="G25" s="48" t="s">
        <v>3605</v>
      </c>
      <c r="H25" s="48" t="s">
        <v>3608</v>
      </c>
      <c r="I25" s="48" t="s">
        <v>3605</v>
      </c>
      <c r="J25" s="48" t="s">
        <v>3608</v>
      </c>
      <c r="K25" s="48" t="s">
        <v>3605</v>
      </c>
      <c r="L25" s="48" t="s">
        <v>3608</v>
      </c>
      <c r="M25" s="48" t="s">
        <v>3605</v>
      </c>
      <c r="N25" s="48" t="s">
        <v>3605</v>
      </c>
      <c r="O25" s="48" t="s">
        <v>3609</v>
      </c>
      <c r="P25" s="48" t="s">
        <v>3609</v>
      </c>
      <c r="Q25" s="48" t="s">
        <v>3610</v>
      </c>
      <c r="R25" s="48" t="s">
        <v>3611</v>
      </c>
      <c r="S25" s="48" t="s">
        <v>3611</v>
      </c>
      <c r="T25" s="48" t="s">
        <v>3664</v>
      </c>
      <c r="U25" s="48" t="s">
        <v>3664</v>
      </c>
      <c r="V25" s="48" t="s">
        <v>3665</v>
      </c>
      <c r="W25" s="48" t="s">
        <v>3665</v>
      </c>
    </row>
    <row r="26" spans="1:23" x14ac:dyDescent="0.25">
      <c r="A26" s="29"/>
      <c r="B26" s="29"/>
      <c r="C26" s="29"/>
      <c r="D26" s="29"/>
      <c r="E26" s="29"/>
      <c r="F26" s="29" t="s">
        <v>58</v>
      </c>
      <c r="G26" s="48"/>
      <c r="H26" s="48"/>
      <c r="I26" s="48"/>
      <c r="J26" s="48"/>
      <c r="K26" s="48"/>
      <c r="L26" s="48"/>
      <c r="M26" s="48"/>
      <c r="N26" s="48"/>
      <c r="O26" s="48"/>
      <c r="P26" s="48"/>
      <c r="Q26" s="48"/>
      <c r="R26" s="48"/>
      <c r="S26" s="48"/>
      <c r="T26" s="48"/>
      <c r="U26" s="48"/>
      <c r="V26" s="48"/>
      <c r="W26" s="48"/>
    </row>
    <row r="27" spans="1:23" x14ac:dyDescent="0.25">
      <c r="A27" s="29"/>
      <c r="B27" s="29"/>
      <c r="C27" s="29"/>
      <c r="D27" s="29"/>
      <c r="E27" s="29"/>
      <c r="F27" s="29" t="s">
        <v>77</v>
      </c>
      <c r="G27" s="48" t="s">
        <v>3612</v>
      </c>
      <c r="H27" s="48" t="s">
        <v>3613</v>
      </c>
      <c r="I27" s="48" t="s">
        <v>3614</v>
      </c>
      <c r="J27" s="48" t="s">
        <v>3615</v>
      </c>
      <c r="K27" s="48" t="s">
        <v>3616</v>
      </c>
      <c r="L27" s="48" t="s">
        <v>3617</v>
      </c>
      <c r="M27" s="48" t="s">
        <v>3618</v>
      </c>
      <c r="N27" s="48" t="s">
        <v>3619</v>
      </c>
      <c r="O27" s="48" t="s">
        <v>3620</v>
      </c>
      <c r="P27" s="48" t="s">
        <v>3621</v>
      </c>
      <c r="Q27" s="48" t="s">
        <v>3622</v>
      </c>
      <c r="R27" s="48" t="s">
        <v>3666</v>
      </c>
      <c r="S27" s="48" t="s">
        <v>3667</v>
      </c>
      <c r="T27" s="48" t="s">
        <v>3668</v>
      </c>
      <c r="U27" s="48" t="s">
        <v>3683</v>
      </c>
      <c r="V27" s="48" t="s">
        <v>3669</v>
      </c>
      <c r="W27" s="48" t="s">
        <v>3684</v>
      </c>
    </row>
    <row r="28" spans="1:23" x14ac:dyDescent="0.25">
      <c r="A28" s="29"/>
      <c r="B28" s="29"/>
      <c r="C28" s="29"/>
      <c r="D28" s="29"/>
      <c r="E28" s="29"/>
      <c r="F28" s="29" t="s">
        <v>61</v>
      </c>
      <c r="G28" s="48" t="s">
        <v>128</v>
      </c>
      <c r="H28" s="48" t="s">
        <v>128</v>
      </c>
      <c r="I28" s="48" t="s">
        <v>128</v>
      </c>
      <c r="J28" s="48" t="s">
        <v>128</v>
      </c>
      <c r="K28" s="48" t="s">
        <v>128</v>
      </c>
      <c r="L28" s="48" t="s">
        <v>128</v>
      </c>
      <c r="M28" s="48" t="s">
        <v>128</v>
      </c>
      <c r="N28" s="48" t="s">
        <v>128</v>
      </c>
      <c r="O28" s="48" t="s">
        <v>128</v>
      </c>
      <c r="P28" s="48" t="s">
        <v>128</v>
      </c>
      <c r="Q28" s="48" t="s">
        <v>128</v>
      </c>
      <c r="R28" s="48" t="s">
        <v>128</v>
      </c>
      <c r="S28" s="48" t="s">
        <v>128</v>
      </c>
      <c r="T28" s="48" t="s">
        <v>128</v>
      </c>
      <c r="U28" s="48" t="s">
        <v>128</v>
      </c>
      <c r="V28" s="48" t="s">
        <v>128</v>
      </c>
      <c r="W28" s="48" t="s">
        <v>128</v>
      </c>
    </row>
    <row r="29" spans="1:23" x14ac:dyDescent="0.25">
      <c r="A29" s="29"/>
      <c r="B29" s="29"/>
      <c r="C29" s="29"/>
      <c r="D29" s="29"/>
      <c r="E29" s="29"/>
      <c r="F29" s="29" t="s">
        <v>3</v>
      </c>
      <c r="G29" s="48"/>
      <c r="H29" s="48"/>
      <c r="I29" s="48"/>
      <c r="J29" s="48"/>
      <c r="K29" s="48"/>
      <c r="L29" s="48"/>
      <c r="M29" s="48"/>
      <c r="N29" s="48"/>
      <c r="O29" s="48"/>
      <c r="P29" s="48"/>
      <c r="Q29" s="48"/>
      <c r="R29" s="48"/>
      <c r="S29" s="48"/>
      <c r="T29" s="48"/>
      <c r="U29" s="48"/>
      <c r="V29" s="48"/>
      <c r="W29" s="48"/>
    </row>
    <row r="30" spans="1:23" x14ac:dyDescent="0.25">
      <c r="A30" s="29"/>
      <c r="B30" s="29"/>
      <c r="C30" s="29"/>
      <c r="D30" s="29"/>
      <c r="E30" s="29"/>
      <c r="F30" s="29" t="s">
        <v>21</v>
      </c>
      <c r="G30" s="48" t="s">
        <v>3623</v>
      </c>
      <c r="H30" s="48" t="s">
        <v>3623</v>
      </c>
      <c r="I30" s="48" t="s">
        <v>3623</v>
      </c>
      <c r="J30" s="48" t="s">
        <v>3623</v>
      </c>
      <c r="K30" s="48" t="s">
        <v>3623</v>
      </c>
      <c r="L30" s="48" t="s">
        <v>3623</v>
      </c>
      <c r="M30" s="48" t="s">
        <v>3623</v>
      </c>
      <c r="N30" s="48" t="s">
        <v>3623</v>
      </c>
      <c r="O30" s="48" t="s">
        <v>3623</v>
      </c>
      <c r="P30" s="48" t="s">
        <v>3623</v>
      </c>
      <c r="Q30" s="48" t="s">
        <v>3623</v>
      </c>
      <c r="R30" s="48" t="s">
        <v>3623</v>
      </c>
      <c r="S30" s="48" t="s">
        <v>3623</v>
      </c>
      <c r="T30" s="48" t="s">
        <v>3623</v>
      </c>
      <c r="U30" s="48" t="s">
        <v>3623</v>
      </c>
      <c r="V30" s="48" t="s">
        <v>3623</v>
      </c>
      <c r="W30" s="48" t="s">
        <v>3623</v>
      </c>
    </row>
    <row r="31" spans="1:23" ht="30" x14ac:dyDescent="0.25">
      <c r="A31" s="29"/>
      <c r="B31" s="29"/>
      <c r="C31" s="29"/>
      <c r="D31" s="29"/>
      <c r="E31" s="29"/>
      <c r="F31" s="29" t="s">
        <v>22</v>
      </c>
      <c r="G31" s="48" t="s">
        <v>3624</v>
      </c>
      <c r="H31" s="48" t="s">
        <v>3625</v>
      </c>
      <c r="I31" s="48" t="s">
        <v>3626</v>
      </c>
      <c r="J31" s="48" t="s">
        <v>3627</v>
      </c>
      <c r="K31" s="48" t="s">
        <v>3628</v>
      </c>
      <c r="L31" s="48" t="s">
        <v>3629</v>
      </c>
      <c r="M31" s="48" t="s">
        <v>3630</v>
      </c>
      <c r="N31" s="48" t="s">
        <v>3631</v>
      </c>
      <c r="O31" s="48" t="s">
        <v>3632</v>
      </c>
      <c r="P31" s="48" t="s">
        <v>3633</v>
      </c>
      <c r="Q31" s="48" t="s">
        <v>3634</v>
      </c>
      <c r="R31" s="48" t="s">
        <v>3635</v>
      </c>
      <c r="S31" s="48" t="s">
        <v>3636</v>
      </c>
      <c r="T31" s="48" t="s">
        <v>3670</v>
      </c>
      <c r="U31" s="48" t="s">
        <v>3685</v>
      </c>
      <c r="V31" s="48" t="s">
        <v>3671</v>
      </c>
      <c r="W31" s="48" t="s">
        <v>3686</v>
      </c>
    </row>
    <row r="32" spans="1:23" x14ac:dyDescent="0.25">
      <c r="A32" s="29"/>
      <c r="B32" s="29"/>
      <c r="C32" s="29"/>
      <c r="D32" s="29"/>
      <c r="E32" s="29"/>
      <c r="F32" s="29" t="s">
        <v>65</v>
      </c>
      <c r="G32" s="48"/>
      <c r="H32" s="48"/>
      <c r="I32" s="48"/>
      <c r="J32" s="48"/>
      <c r="K32" s="48"/>
      <c r="L32" s="48"/>
      <c r="M32" s="48"/>
      <c r="N32" s="48"/>
      <c r="O32" s="48"/>
      <c r="P32" s="48"/>
      <c r="Q32" s="48"/>
      <c r="R32" s="48"/>
      <c r="S32" s="48"/>
      <c r="T32" s="48"/>
      <c r="U32" s="48"/>
      <c r="V32" s="48"/>
      <c r="W32" s="48"/>
    </row>
    <row r="33" spans="1:24" ht="120" x14ac:dyDescent="0.25">
      <c r="A33" s="29"/>
      <c r="B33" s="29"/>
      <c r="C33" s="29"/>
      <c r="D33" s="29"/>
      <c r="E33" s="29"/>
      <c r="F33" s="29" t="s">
        <v>938</v>
      </c>
      <c r="G33" s="48" t="s">
        <v>3590</v>
      </c>
      <c r="H33" s="48" t="s">
        <v>3590</v>
      </c>
      <c r="I33" s="48" t="s">
        <v>3590</v>
      </c>
      <c r="J33" s="48" t="s">
        <v>3590</v>
      </c>
      <c r="K33" s="48" t="s">
        <v>3590</v>
      </c>
      <c r="L33" s="48" t="s">
        <v>3590</v>
      </c>
      <c r="M33" s="48" t="s">
        <v>3590</v>
      </c>
      <c r="N33" s="48" t="s">
        <v>3590</v>
      </c>
      <c r="O33" s="48" t="s">
        <v>3590</v>
      </c>
      <c r="P33" s="48" t="s">
        <v>3590</v>
      </c>
      <c r="Q33" s="48" t="s">
        <v>3590</v>
      </c>
      <c r="R33" s="48" t="s">
        <v>3590</v>
      </c>
      <c r="S33" s="48" t="s">
        <v>3590</v>
      </c>
      <c r="T33" s="48" t="s">
        <v>3663</v>
      </c>
      <c r="U33" s="48" t="s">
        <v>3590</v>
      </c>
      <c r="V33" s="48" t="s">
        <v>3663</v>
      </c>
      <c r="W33" s="48" t="s">
        <v>3590</v>
      </c>
    </row>
    <row r="34" spans="1:24" ht="30" x14ac:dyDescent="0.25">
      <c r="A34" s="29"/>
      <c r="B34" s="29"/>
      <c r="C34" s="29"/>
      <c r="D34" s="29"/>
      <c r="E34" s="29"/>
      <c r="F34" s="29" t="s">
        <v>939</v>
      </c>
      <c r="G34" s="48"/>
      <c r="H34" s="48"/>
      <c r="I34" s="48"/>
      <c r="J34" s="48"/>
      <c r="K34" s="48"/>
      <c r="L34" s="48"/>
      <c r="M34" s="48"/>
      <c r="N34" s="48"/>
      <c r="O34" s="48"/>
      <c r="P34" s="48"/>
      <c r="Q34" s="48"/>
      <c r="R34" s="48"/>
      <c r="S34" s="48"/>
      <c r="T34" s="48"/>
      <c r="U34" s="48"/>
      <c r="V34" s="48"/>
      <c r="W34" s="48"/>
    </row>
    <row r="35" spans="1:24" ht="30" x14ac:dyDescent="0.25">
      <c r="A35" s="29"/>
      <c r="B35" s="29"/>
      <c r="C35" s="29"/>
      <c r="D35" s="29"/>
      <c r="E35" s="38" t="s">
        <v>971</v>
      </c>
      <c r="F35" s="38" t="s">
        <v>940</v>
      </c>
      <c r="G35" s="48"/>
      <c r="H35" s="48"/>
      <c r="I35" s="48"/>
      <c r="J35" s="48"/>
      <c r="K35" s="48"/>
      <c r="L35" s="48"/>
      <c r="M35" s="48"/>
      <c r="N35" s="48"/>
      <c r="O35" s="48"/>
      <c r="P35" s="48"/>
      <c r="Q35" s="48"/>
      <c r="R35" s="48"/>
      <c r="S35" s="48"/>
      <c r="T35" s="48"/>
      <c r="U35" s="48"/>
      <c r="V35" s="48"/>
      <c r="W35" s="48"/>
    </row>
    <row r="36" spans="1:24" x14ac:dyDescent="0.25">
      <c r="A36" s="29"/>
      <c r="B36" s="29"/>
      <c r="C36" s="29"/>
      <c r="D36" s="29"/>
      <c r="E36" s="29"/>
      <c r="F36" s="38" t="s">
        <v>941</v>
      </c>
      <c r="G36" s="48"/>
      <c r="H36" s="48"/>
      <c r="I36" s="48"/>
      <c r="J36" s="48"/>
      <c r="K36" s="48"/>
      <c r="L36" s="48"/>
      <c r="M36" s="48"/>
      <c r="N36" s="48"/>
      <c r="O36" s="48"/>
      <c r="P36" s="48"/>
      <c r="Q36" s="48"/>
      <c r="R36" s="48"/>
      <c r="S36" s="48"/>
      <c r="T36" s="48"/>
      <c r="U36" s="48"/>
      <c r="V36" s="48"/>
      <c r="W36" s="48"/>
    </row>
    <row r="37" spans="1:24" x14ac:dyDescent="0.25">
      <c r="A37" s="29"/>
      <c r="B37" s="29"/>
      <c r="C37" s="29"/>
      <c r="D37" s="29"/>
      <c r="E37" s="29"/>
      <c r="F37" s="38" t="s">
        <v>942</v>
      </c>
      <c r="G37" s="48"/>
      <c r="H37" s="48"/>
      <c r="I37" s="48"/>
      <c r="J37" s="48"/>
      <c r="K37" s="48"/>
      <c r="L37" s="48"/>
      <c r="M37" s="48"/>
      <c r="N37" s="48"/>
      <c r="O37" s="48"/>
      <c r="P37" s="48"/>
      <c r="Q37" s="48"/>
      <c r="R37" s="48"/>
      <c r="S37" s="48"/>
      <c r="T37" s="48"/>
      <c r="U37" s="48"/>
      <c r="V37" s="48"/>
      <c r="W37" s="48"/>
    </row>
    <row r="38" spans="1:24" ht="30" x14ac:dyDescent="0.25">
      <c r="A38" s="29" t="s">
        <v>949</v>
      </c>
      <c r="B38" s="29"/>
      <c r="C38" s="29"/>
      <c r="D38" s="29"/>
      <c r="E38" s="29"/>
      <c r="F38" s="38" t="s">
        <v>943</v>
      </c>
      <c r="G38" s="48" t="s">
        <v>3637</v>
      </c>
      <c r="H38" s="48" t="s">
        <v>3638</v>
      </c>
      <c r="I38" s="48" t="s">
        <v>3639</v>
      </c>
      <c r="J38" s="48" t="s">
        <v>3640</v>
      </c>
      <c r="K38" s="48" t="s">
        <v>3640</v>
      </c>
      <c r="L38" s="48" t="s">
        <v>3641</v>
      </c>
      <c r="M38" s="48" t="s">
        <v>3588</v>
      </c>
      <c r="N38" s="48" t="s">
        <v>3588</v>
      </c>
      <c r="O38" s="48" t="s">
        <v>3637</v>
      </c>
      <c r="P38" s="48" t="s">
        <v>3588</v>
      </c>
      <c r="Q38" s="48" t="s">
        <v>3588</v>
      </c>
      <c r="R38" s="48" t="s">
        <v>3588</v>
      </c>
      <c r="S38" s="48" t="s">
        <v>3637</v>
      </c>
      <c r="T38" s="48" t="s">
        <v>3588</v>
      </c>
      <c r="U38" s="48" t="s">
        <v>3639</v>
      </c>
      <c r="V38" s="48" t="s">
        <v>3588</v>
      </c>
      <c r="W38" s="48" t="s">
        <v>3639</v>
      </c>
      <c r="X38" s="85"/>
    </row>
    <row r="39" spans="1:24" x14ac:dyDescent="0.25">
      <c r="A39" s="29" t="s">
        <v>950</v>
      </c>
      <c r="B39" s="29"/>
      <c r="C39" s="29"/>
      <c r="D39" s="29"/>
      <c r="E39" s="29"/>
      <c r="F39" s="38" t="s">
        <v>944</v>
      </c>
      <c r="G39" s="48"/>
      <c r="H39" s="48"/>
      <c r="I39" s="48"/>
      <c r="J39" s="48"/>
      <c r="K39" s="48"/>
      <c r="L39" s="48"/>
      <c r="M39" s="48"/>
      <c r="N39" s="48"/>
      <c r="O39" s="48"/>
      <c r="P39" s="48"/>
      <c r="Q39" s="48"/>
      <c r="R39" s="48"/>
      <c r="S39" s="48"/>
      <c r="T39" s="48"/>
      <c r="U39" s="48"/>
      <c r="V39" s="48"/>
      <c r="W39" s="48"/>
    </row>
    <row r="40" spans="1:24" x14ac:dyDescent="0.25">
      <c r="A40" s="29" t="s">
        <v>951</v>
      </c>
      <c r="B40" s="29">
        <v>1.2</v>
      </c>
      <c r="C40" s="29"/>
      <c r="D40" s="29"/>
      <c r="E40" s="29"/>
      <c r="F40" s="38" t="s">
        <v>945</v>
      </c>
      <c r="G40" s="51" t="s">
        <v>3589</v>
      </c>
      <c r="H40" s="51" t="s">
        <v>3589</v>
      </c>
      <c r="I40" s="51" t="s">
        <v>3589</v>
      </c>
      <c r="J40" s="51" t="s">
        <v>3589</v>
      </c>
      <c r="K40" s="51" t="s">
        <v>3589</v>
      </c>
      <c r="L40" s="51" t="s">
        <v>3589</v>
      </c>
      <c r="M40" s="51" t="s">
        <v>3589</v>
      </c>
      <c r="N40" s="51" t="s">
        <v>3589</v>
      </c>
      <c r="O40" s="51" t="s">
        <v>3589</v>
      </c>
      <c r="P40" s="51" t="s">
        <v>3589</v>
      </c>
      <c r="Q40" s="51" t="s">
        <v>3589</v>
      </c>
      <c r="R40" s="51" t="s">
        <v>3589</v>
      </c>
      <c r="S40" s="51" t="s">
        <v>3589</v>
      </c>
      <c r="T40" s="51" t="s">
        <v>3589</v>
      </c>
      <c r="U40" s="51" t="s">
        <v>3589</v>
      </c>
      <c r="V40" s="51" t="s">
        <v>3589</v>
      </c>
      <c r="W40" s="51" t="s">
        <v>3589</v>
      </c>
      <c r="X40" s="85"/>
    </row>
    <row r="41" spans="1:24" x14ac:dyDescent="0.25">
      <c r="A41" s="29" t="s">
        <v>952</v>
      </c>
      <c r="B41" s="29"/>
      <c r="C41" s="29"/>
      <c r="D41" s="29"/>
      <c r="E41" s="29"/>
      <c r="F41" s="38" t="s">
        <v>946</v>
      </c>
      <c r="G41" s="48"/>
      <c r="H41" s="48"/>
      <c r="I41" s="48"/>
      <c r="J41" s="48"/>
      <c r="K41" s="48"/>
      <c r="L41" s="48"/>
      <c r="M41" s="48"/>
      <c r="N41" s="48"/>
      <c r="O41" s="48"/>
      <c r="P41" s="48"/>
      <c r="Q41" s="48"/>
      <c r="R41" s="48"/>
      <c r="S41" s="48"/>
      <c r="T41" s="48"/>
      <c r="U41" s="48"/>
      <c r="V41" s="48"/>
      <c r="W41" s="48"/>
    </row>
    <row r="42" spans="1:24" x14ac:dyDescent="0.25">
      <c r="A42" s="29" t="s">
        <v>953</v>
      </c>
      <c r="B42" s="29"/>
      <c r="C42" s="29"/>
      <c r="D42" s="29"/>
      <c r="E42" s="29"/>
      <c r="F42" s="38" t="s">
        <v>947</v>
      </c>
      <c r="G42" s="48"/>
      <c r="H42" s="48"/>
      <c r="I42" s="48"/>
      <c r="J42" s="48"/>
      <c r="K42" s="48"/>
      <c r="L42" s="48"/>
      <c r="M42" s="48"/>
      <c r="N42" s="48"/>
      <c r="O42" s="48"/>
      <c r="P42" s="48"/>
      <c r="Q42" s="48"/>
      <c r="R42" s="48"/>
      <c r="S42" s="48"/>
      <c r="T42" s="48"/>
      <c r="U42" s="48"/>
      <c r="V42" s="48"/>
      <c r="W42" s="48"/>
    </row>
    <row r="43" spans="1:24" x14ac:dyDescent="0.25">
      <c r="A43" s="29" t="s">
        <v>954</v>
      </c>
      <c r="B43" s="29"/>
      <c r="C43" s="29"/>
      <c r="D43" s="29"/>
      <c r="E43" s="29"/>
      <c r="F43" s="38" t="s">
        <v>948</v>
      </c>
      <c r="G43" s="48"/>
      <c r="H43" s="48"/>
      <c r="I43" s="48"/>
      <c r="J43" s="48"/>
      <c r="K43" s="48"/>
      <c r="L43" s="48"/>
      <c r="M43" s="48"/>
      <c r="N43" s="48"/>
      <c r="O43" s="48"/>
      <c r="P43" s="48"/>
      <c r="Q43" s="48"/>
      <c r="R43" s="48"/>
      <c r="S43" s="48"/>
      <c r="T43" s="48"/>
      <c r="U43" s="48"/>
      <c r="V43" s="48"/>
      <c r="W43" s="48"/>
    </row>
    <row r="44" spans="1:24" ht="75" x14ac:dyDescent="0.25">
      <c r="A44" s="52" t="s">
        <v>529</v>
      </c>
      <c r="B44" s="39" t="s">
        <v>530</v>
      </c>
      <c r="C44" s="40" t="s">
        <v>531</v>
      </c>
      <c r="D44" s="40" t="s">
        <v>532</v>
      </c>
      <c r="E44" s="40" t="s">
        <v>533</v>
      </c>
      <c r="F44" s="40" t="s">
        <v>534</v>
      </c>
      <c r="G44" s="39"/>
      <c r="H44" s="39"/>
      <c r="I44" s="39"/>
      <c r="J44" s="39"/>
      <c r="K44" s="39"/>
      <c r="L44" s="39"/>
      <c r="M44" s="39"/>
      <c r="N44" s="39"/>
      <c r="O44" s="39"/>
      <c r="P44" s="39"/>
      <c r="Q44" s="39"/>
      <c r="R44" s="39"/>
      <c r="S44" s="39"/>
      <c r="T44" s="39"/>
      <c r="U44" s="39"/>
      <c r="V44" s="39"/>
      <c r="W44" s="39"/>
    </row>
    <row r="45" spans="1:24" x14ac:dyDescent="0.25">
      <c r="A45" s="41" t="s">
        <v>535</v>
      </c>
      <c r="B45" s="53"/>
      <c r="C45" s="54"/>
      <c r="D45" s="54"/>
      <c r="E45" s="54"/>
      <c r="F45" s="54"/>
      <c r="G45" s="55"/>
      <c r="H45" s="55"/>
      <c r="I45" s="55"/>
      <c r="J45" s="55"/>
      <c r="K45" s="55"/>
      <c r="L45" s="55"/>
      <c r="M45" s="55"/>
      <c r="N45" s="55"/>
      <c r="O45" s="55"/>
      <c r="P45" s="55"/>
      <c r="Q45" s="55"/>
      <c r="R45" s="55"/>
      <c r="S45" s="55"/>
      <c r="T45" s="55"/>
      <c r="U45" s="55"/>
      <c r="V45" s="55"/>
      <c r="W45" s="55"/>
      <c r="X45" s="45">
        <f t="shared" ref="X45:X75" si="0">COUNTIF(G45:W45,"*-Y")+COUNTIF(G45:W45,"S")+COUNTIF(G45:W45,"M")</f>
        <v>0</v>
      </c>
    </row>
    <row r="46" spans="1:24" ht="150" x14ac:dyDescent="0.25">
      <c r="A46" s="56" t="s">
        <v>535</v>
      </c>
      <c r="B46" s="57" t="s">
        <v>536</v>
      </c>
      <c r="C46" s="47" t="s">
        <v>537</v>
      </c>
      <c r="D46" s="47" t="s">
        <v>537</v>
      </c>
      <c r="E46" s="47" t="s">
        <v>538</v>
      </c>
      <c r="F46" s="47" t="s">
        <v>539</v>
      </c>
      <c r="G46" s="61" t="s">
        <v>2528</v>
      </c>
      <c r="H46" s="61" t="s">
        <v>2528</v>
      </c>
      <c r="I46" s="61" t="s">
        <v>2528</v>
      </c>
      <c r="J46" s="61" t="s">
        <v>2528</v>
      </c>
      <c r="K46" s="61" t="s">
        <v>2528</v>
      </c>
      <c r="L46" s="61" t="s">
        <v>2528</v>
      </c>
      <c r="M46" s="61" t="s">
        <v>2528</v>
      </c>
      <c r="N46" s="61" t="s">
        <v>2528</v>
      </c>
      <c r="O46" s="61" t="s">
        <v>2528</v>
      </c>
      <c r="P46" s="61" t="s">
        <v>2528</v>
      </c>
      <c r="Q46" s="61" t="s">
        <v>2528</v>
      </c>
      <c r="R46" s="61" t="s">
        <v>2528</v>
      </c>
      <c r="S46" s="61" t="s">
        <v>2528</v>
      </c>
      <c r="T46" s="61" t="s">
        <v>2528</v>
      </c>
      <c r="U46" s="61" t="s">
        <v>2528</v>
      </c>
      <c r="V46" s="61" t="s">
        <v>2528</v>
      </c>
      <c r="W46" s="61" t="s">
        <v>2528</v>
      </c>
      <c r="X46" s="45">
        <f t="shared" si="0"/>
        <v>17</v>
      </c>
    </row>
    <row r="47" spans="1:24" ht="75" x14ac:dyDescent="0.25">
      <c r="A47" s="56" t="s">
        <v>535</v>
      </c>
      <c r="B47" s="57" t="s">
        <v>540</v>
      </c>
      <c r="C47" s="47" t="s">
        <v>541</v>
      </c>
      <c r="D47" s="47" t="s">
        <v>542</v>
      </c>
      <c r="E47" s="47" t="s">
        <v>543</v>
      </c>
      <c r="F47" s="47" t="s">
        <v>538</v>
      </c>
      <c r="G47" s="58" t="s">
        <v>123</v>
      </c>
      <c r="H47" s="58" t="s">
        <v>123</v>
      </c>
      <c r="I47" s="58" t="s">
        <v>123</v>
      </c>
      <c r="J47" s="65" t="s">
        <v>3642</v>
      </c>
      <c r="K47" s="65" t="s">
        <v>3642</v>
      </c>
      <c r="L47" s="65" t="s">
        <v>3642</v>
      </c>
      <c r="M47" s="65" t="s">
        <v>3642</v>
      </c>
      <c r="N47" s="65" t="s">
        <v>3642</v>
      </c>
      <c r="O47" s="58" t="s">
        <v>123</v>
      </c>
      <c r="P47" s="62" t="s">
        <v>3643</v>
      </c>
      <c r="Q47" s="65" t="s">
        <v>3642</v>
      </c>
      <c r="R47" s="65" t="s">
        <v>3642</v>
      </c>
      <c r="S47" s="58" t="s">
        <v>123</v>
      </c>
      <c r="T47" s="83" t="s">
        <v>3642</v>
      </c>
      <c r="U47" s="58" t="s">
        <v>123</v>
      </c>
      <c r="V47" s="83" t="s">
        <v>3642</v>
      </c>
      <c r="W47" s="58" t="s">
        <v>123</v>
      </c>
      <c r="X47" s="45">
        <f t="shared" si="0"/>
        <v>9</v>
      </c>
    </row>
    <row r="48" spans="1:24" ht="60" x14ac:dyDescent="0.25">
      <c r="A48" s="56" t="s">
        <v>535</v>
      </c>
      <c r="B48" s="57" t="s">
        <v>544</v>
      </c>
      <c r="C48" s="47" t="s">
        <v>545</v>
      </c>
      <c r="D48" s="47" t="s">
        <v>545</v>
      </c>
      <c r="E48" s="47" t="s">
        <v>546</v>
      </c>
      <c r="F48" s="47" t="s">
        <v>538</v>
      </c>
      <c r="G48" s="58" t="s">
        <v>123</v>
      </c>
      <c r="H48" s="58" t="s">
        <v>123</v>
      </c>
      <c r="I48" s="58" t="s">
        <v>123</v>
      </c>
      <c r="J48" s="65" t="s">
        <v>3642</v>
      </c>
      <c r="K48" s="65" t="s">
        <v>3642</v>
      </c>
      <c r="L48" s="65" t="s">
        <v>3642</v>
      </c>
      <c r="M48" s="65" t="s">
        <v>3642</v>
      </c>
      <c r="N48" s="65" t="s">
        <v>3642</v>
      </c>
      <c r="O48" s="58" t="s">
        <v>123</v>
      </c>
      <c r="P48" s="62" t="s">
        <v>3643</v>
      </c>
      <c r="Q48" s="65" t="s">
        <v>3642</v>
      </c>
      <c r="R48" s="65" t="s">
        <v>3642</v>
      </c>
      <c r="S48" s="58" t="s">
        <v>123</v>
      </c>
      <c r="T48" s="83" t="s">
        <v>3642</v>
      </c>
      <c r="U48" s="58" t="s">
        <v>123</v>
      </c>
      <c r="V48" s="83" t="s">
        <v>3642</v>
      </c>
      <c r="W48" s="58" t="s">
        <v>123</v>
      </c>
      <c r="X48" s="45">
        <f t="shared" si="0"/>
        <v>9</v>
      </c>
    </row>
    <row r="49" spans="1:24" x14ac:dyDescent="0.25">
      <c r="A49" s="41" t="s">
        <v>547</v>
      </c>
      <c r="B49" s="53"/>
      <c r="C49" s="54"/>
      <c r="D49" s="54"/>
      <c r="E49" s="54"/>
      <c r="F49" s="54"/>
      <c r="G49" s="55"/>
      <c r="H49" s="55"/>
      <c r="I49" s="55"/>
      <c r="J49" s="55"/>
      <c r="K49" s="55"/>
      <c r="L49" s="55"/>
      <c r="M49" s="55"/>
      <c r="N49" s="55"/>
      <c r="O49" s="55"/>
      <c r="P49" s="55"/>
      <c r="Q49" s="55"/>
      <c r="R49" s="55"/>
      <c r="S49" s="55"/>
      <c r="T49" s="55"/>
      <c r="U49" s="55"/>
      <c r="V49" s="55"/>
      <c r="W49" s="55"/>
      <c r="X49" s="45">
        <f t="shared" si="0"/>
        <v>0</v>
      </c>
    </row>
    <row r="50" spans="1:24" ht="30" x14ac:dyDescent="0.25">
      <c r="A50" s="56" t="s">
        <v>547</v>
      </c>
      <c r="B50" s="57" t="s">
        <v>548</v>
      </c>
      <c r="C50" s="47" t="s">
        <v>549</v>
      </c>
      <c r="D50" s="47" t="s">
        <v>550</v>
      </c>
      <c r="E50" s="47" t="s">
        <v>538</v>
      </c>
      <c r="F50" s="47" t="s">
        <v>551</v>
      </c>
      <c r="G50" s="58" t="s">
        <v>123</v>
      </c>
      <c r="H50" s="58" t="s">
        <v>123</v>
      </c>
      <c r="I50" s="58" t="s">
        <v>123</v>
      </c>
      <c r="J50" s="58" t="s">
        <v>123</v>
      </c>
      <c r="K50" s="58" t="s">
        <v>123</v>
      </c>
      <c r="L50" s="58" t="s">
        <v>123</v>
      </c>
      <c r="M50" s="61" t="s">
        <v>2528</v>
      </c>
      <c r="N50" s="61" t="s">
        <v>2528</v>
      </c>
      <c r="O50" s="58" t="s">
        <v>123</v>
      </c>
      <c r="P50" s="61" t="s">
        <v>2528</v>
      </c>
      <c r="Q50" s="61" t="s">
        <v>2528</v>
      </c>
      <c r="R50" s="61" t="s">
        <v>2528</v>
      </c>
      <c r="S50" s="58" t="s">
        <v>123</v>
      </c>
      <c r="T50" s="61" t="s">
        <v>2528</v>
      </c>
      <c r="U50" s="58" t="s">
        <v>123</v>
      </c>
      <c r="V50" s="61" t="s">
        <v>2528</v>
      </c>
      <c r="W50" s="58" t="s">
        <v>123</v>
      </c>
      <c r="X50" s="45">
        <f t="shared" si="0"/>
        <v>7</v>
      </c>
    </row>
    <row r="51" spans="1:24" x14ac:dyDescent="0.25">
      <c r="A51" s="41" t="s">
        <v>552</v>
      </c>
      <c r="B51" s="53"/>
      <c r="C51" s="54"/>
      <c r="D51" s="54"/>
      <c r="E51" s="54"/>
      <c r="F51" s="54"/>
      <c r="G51" s="55"/>
      <c r="H51" s="55"/>
      <c r="I51" s="55"/>
      <c r="J51" s="55"/>
      <c r="K51" s="55"/>
      <c r="L51" s="55"/>
      <c r="M51" s="55"/>
      <c r="N51" s="55"/>
      <c r="O51" s="55"/>
      <c r="P51" s="55"/>
      <c r="Q51" s="55"/>
      <c r="R51" s="55"/>
      <c r="S51" s="55"/>
      <c r="T51" s="55"/>
      <c r="U51" s="55"/>
      <c r="V51" s="55"/>
      <c r="W51" s="55"/>
      <c r="X51" s="45">
        <f t="shared" si="0"/>
        <v>0</v>
      </c>
    </row>
    <row r="52" spans="1:24" ht="30" x14ac:dyDescent="0.25">
      <c r="A52" s="56" t="s">
        <v>552</v>
      </c>
      <c r="B52" s="57" t="s">
        <v>553</v>
      </c>
      <c r="C52" s="47" t="s">
        <v>554</v>
      </c>
      <c r="D52" s="47" t="s">
        <v>555</v>
      </c>
      <c r="E52" s="47" t="s">
        <v>556</v>
      </c>
      <c r="F52" s="47" t="s">
        <v>557</v>
      </c>
      <c r="G52" s="62" t="s">
        <v>3644</v>
      </c>
      <c r="H52" s="62" t="s">
        <v>3644</v>
      </c>
      <c r="I52" s="65" t="s">
        <v>3645</v>
      </c>
      <c r="J52" s="62" t="s">
        <v>3644</v>
      </c>
      <c r="K52" s="62" t="s">
        <v>3644</v>
      </c>
      <c r="L52" s="61" t="s">
        <v>2528</v>
      </c>
      <c r="M52" s="62" t="s">
        <v>3644</v>
      </c>
      <c r="N52" s="62" t="s">
        <v>3644</v>
      </c>
      <c r="O52" s="62" t="s">
        <v>3644</v>
      </c>
      <c r="P52" s="62" t="s">
        <v>3644</v>
      </c>
      <c r="Q52" s="65" t="s">
        <v>3645</v>
      </c>
      <c r="R52" s="62" t="s">
        <v>3644</v>
      </c>
      <c r="S52" s="62" t="s">
        <v>3644</v>
      </c>
      <c r="T52" s="64" t="s">
        <v>3680</v>
      </c>
      <c r="U52" s="65" t="s">
        <v>3645</v>
      </c>
      <c r="V52" s="64" t="s">
        <v>3681</v>
      </c>
      <c r="W52" s="65" t="s">
        <v>3645</v>
      </c>
      <c r="X52" s="45">
        <f t="shared" si="0"/>
        <v>5</v>
      </c>
    </row>
    <row r="53" spans="1:24" ht="30" x14ac:dyDescent="0.25">
      <c r="A53" s="56" t="s">
        <v>552</v>
      </c>
      <c r="B53" s="57" t="s">
        <v>558</v>
      </c>
      <c r="C53" s="47" t="s">
        <v>559</v>
      </c>
      <c r="D53" s="47" t="s">
        <v>560</v>
      </c>
      <c r="E53" s="47" t="s">
        <v>538</v>
      </c>
      <c r="F53" s="47" t="s">
        <v>561</v>
      </c>
      <c r="G53" s="63" t="s">
        <v>3584</v>
      </c>
      <c r="H53" s="63" t="s">
        <v>3584</v>
      </c>
      <c r="I53" s="63" t="s">
        <v>3584</v>
      </c>
      <c r="J53" s="63" t="s">
        <v>3584</v>
      </c>
      <c r="K53" s="63" t="s">
        <v>3584</v>
      </c>
      <c r="L53" s="63" t="s">
        <v>3584</v>
      </c>
      <c r="M53" s="63" t="s">
        <v>3584</v>
      </c>
      <c r="N53" s="63" t="s">
        <v>3584</v>
      </c>
      <c r="O53" s="63" t="s">
        <v>3584</v>
      </c>
      <c r="P53" s="63" t="s">
        <v>3584</v>
      </c>
      <c r="Q53" s="63" t="s">
        <v>3584</v>
      </c>
      <c r="R53" s="63" t="s">
        <v>3584</v>
      </c>
      <c r="S53" s="63" t="s">
        <v>3584</v>
      </c>
      <c r="T53" s="63" t="s">
        <v>3584</v>
      </c>
      <c r="U53" s="63" t="s">
        <v>3584</v>
      </c>
      <c r="V53" s="63" t="s">
        <v>3584</v>
      </c>
      <c r="W53" s="63" t="s">
        <v>3584</v>
      </c>
      <c r="X53" s="45">
        <f t="shared" si="0"/>
        <v>17</v>
      </c>
    </row>
    <row r="54" spans="1:24" x14ac:dyDescent="0.25">
      <c r="A54" s="41" t="s">
        <v>562</v>
      </c>
      <c r="B54" s="53"/>
      <c r="C54" s="54"/>
      <c r="D54" s="54"/>
      <c r="E54" s="54"/>
      <c r="F54" s="54"/>
      <c r="G54" s="55"/>
      <c r="H54" s="55"/>
      <c r="I54" s="55"/>
      <c r="J54" s="55"/>
      <c r="K54" s="55"/>
      <c r="L54" s="55"/>
      <c r="M54" s="55"/>
      <c r="N54" s="55"/>
      <c r="O54" s="55"/>
      <c r="P54" s="55"/>
      <c r="Q54" s="55"/>
      <c r="R54" s="55"/>
      <c r="S54" s="55"/>
      <c r="T54" s="55"/>
      <c r="U54" s="55"/>
      <c r="V54" s="55"/>
      <c r="W54" s="55"/>
      <c r="X54" s="45">
        <f t="shared" si="0"/>
        <v>0</v>
      </c>
    </row>
    <row r="55" spans="1:24" ht="150" x14ac:dyDescent="0.25">
      <c r="A55" s="56" t="s">
        <v>562</v>
      </c>
      <c r="B55" s="57" t="s">
        <v>563</v>
      </c>
      <c r="C55" s="47" t="s">
        <v>564</v>
      </c>
      <c r="D55" s="47" t="s">
        <v>564</v>
      </c>
      <c r="E55" s="47" t="s">
        <v>538</v>
      </c>
      <c r="F55" s="47" t="s">
        <v>565</v>
      </c>
      <c r="G55" s="62" t="s">
        <v>3644</v>
      </c>
      <c r="H55" s="62" t="s">
        <v>3644</v>
      </c>
      <c r="I55" s="65" t="s">
        <v>3645</v>
      </c>
      <c r="J55" s="62" t="s">
        <v>3644</v>
      </c>
      <c r="K55" s="62" t="s">
        <v>3644</v>
      </c>
      <c r="L55" s="61" t="s">
        <v>2528</v>
      </c>
      <c r="M55" s="62" t="s">
        <v>3644</v>
      </c>
      <c r="N55" s="62" t="s">
        <v>3644</v>
      </c>
      <c r="O55" s="62" t="s">
        <v>3644</v>
      </c>
      <c r="P55" s="65" t="s">
        <v>3645</v>
      </c>
      <c r="Q55" s="65" t="s">
        <v>3645</v>
      </c>
      <c r="R55" s="62" t="s">
        <v>3644</v>
      </c>
      <c r="S55" s="62" t="s">
        <v>3644</v>
      </c>
      <c r="T55" s="83" t="s">
        <v>3645</v>
      </c>
      <c r="U55" s="64" t="s">
        <v>3644</v>
      </c>
      <c r="V55" s="83" t="s">
        <v>3645</v>
      </c>
      <c r="W55" s="64" t="s">
        <v>3644</v>
      </c>
      <c r="X55" s="45">
        <f t="shared" si="0"/>
        <v>6</v>
      </c>
    </row>
    <row r="56" spans="1:24" x14ac:dyDescent="0.25">
      <c r="A56" s="41" t="s">
        <v>566</v>
      </c>
      <c r="B56" s="53"/>
      <c r="C56" s="54"/>
      <c r="D56" s="54"/>
      <c r="E56" s="54"/>
      <c r="F56" s="54"/>
      <c r="G56" s="55"/>
      <c r="H56" s="55"/>
      <c r="I56" s="55"/>
      <c r="J56" s="55"/>
      <c r="K56" s="55"/>
      <c r="L56" s="55"/>
      <c r="M56" s="55"/>
      <c r="N56" s="55"/>
      <c r="O56" s="55"/>
      <c r="P56" s="55"/>
      <c r="Q56" s="55"/>
      <c r="R56" s="55"/>
      <c r="S56" s="55"/>
      <c r="T56" s="55"/>
      <c r="U56" s="55"/>
      <c r="V56" s="55"/>
      <c r="W56" s="55"/>
      <c r="X56" s="45">
        <f t="shared" si="0"/>
        <v>0</v>
      </c>
    </row>
    <row r="57" spans="1:24" x14ac:dyDescent="0.25">
      <c r="A57" s="56" t="s">
        <v>566</v>
      </c>
      <c r="B57" s="57" t="s">
        <v>567</v>
      </c>
      <c r="C57" s="47" t="s">
        <v>568</v>
      </c>
      <c r="D57" s="47" t="s">
        <v>569</v>
      </c>
      <c r="E57" s="47" t="s">
        <v>538</v>
      </c>
      <c r="F57" s="47" t="s">
        <v>538</v>
      </c>
      <c r="G57" s="58" t="s">
        <v>123</v>
      </c>
      <c r="H57" s="58" t="s">
        <v>123</v>
      </c>
      <c r="I57" s="58" t="s">
        <v>123</v>
      </c>
      <c r="J57" s="58" t="s">
        <v>123</v>
      </c>
      <c r="K57" s="58" t="s">
        <v>123</v>
      </c>
      <c r="L57" s="58" t="s">
        <v>123</v>
      </c>
      <c r="M57" s="61" t="s">
        <v>2528</v>
      </c>
      <c r="N57" s="61" t="s">
        <v>2528</v>
      </c>
      <c r="O57" s="58" t="s">
        <v>123</v>
      </c>
      <c r="P57" s="61" t="s">
        <v>2528</v>
      </c>
      <c r="Q57" s="61" t="s">
        <v>2528</v>
      </c>
      <c r="R57" s="61" t="s">
        <v>2528</v>
      </c>
      <c r="S57" s="58" t="s">
        <v>123</v>
      </c>
      <c r="T57" s="61" t="s">
        <v>2528</v>
      </c>
      <c r="U57" s="58" t="s">
        <v>123</v>
      </c>
      <c r="V57" s="61" t="s">
        <v>2528</v>
      </c>
      <c r="W57" s="58" t="s">
        <v>123</v>
      </c>
      <c r="X57" s="45">
        <f t="shared" si="0"/>
        <v>7</v>
      </c>
    </row>
    <row r="58" spans="1:24" x14ac:dyDescent="0.25">
      <c r="A58" s="56" t="s">
        <v>566</v>
      </c>
      <c r="B58" s="57" t="s">
        <v>570</v>
      </c>
      <c r="C58" s="47" t="s">
        <v>571</v>
      </c>
      <c r="D58" s="47" t="s">
        <v>571</v>
      </c>
      <c r="E58" s="47" t="s">
        <v>538</v>
      </c>
      <c r="F58" s="47" t="s">
        <v>538</v>
      </c>
      <c r="G58" s="58" t="s">
        <v>123</v>
      </c>
      <c r="H58" s="58" t="s">
        <v>123</v>
      </c>
      <c r="I58" s="58" t="s">
        <v>123</v>
      </c>
      <c r="J58" s="61" t="s">
        <v>2528</v>
      </c>
      <c r="K58" s="61" t="s">
        <v>2528</v>
      </c>
      <c r="L58" s="61" t="s">
        <v>2528</v>
      </c>
      <c r="M58" s="58" t="s">
        <v>123</v>
      </c>
      <c r="N58" s="58" t="s">
        <v>123</v>
      </c>
      <c r="O58" s="58" t="s">
        <v>123</v>
      </c>
      <c r="P58" s="58" t="s">
        <v>123</v>
      </c>
      <c r="Q58" s="58" t="s">
        <v>123</v>
      </c>
      <c r="R58" s="58" t="s">
        <v>123</v>
      </c>
      <c r="S58" s="58" t="s">
        <v>123</v>
      </c>
      <c r="T58" s="58" t="s">
        <v>123</v>
      </c>
      <c r="U58" s="58" t="s">
        <v>123</v>
      </c>
      <c r="V58" s="58" t="s">
        <v>123</v>
      </c>
      <c r="W58" s="58" t="s">
        <v>123</v>
      </c>
      <c r="X58" s="45">
        <f t="shared" si="0"/>
        <v>3</v>
      </c>
    </row>
    <row r="59" spans="1:24" x14ac:dyDescent="0.25">
      <c r="A59" s="41" t="s">
        <v>572</v>
      </c>
      <c r="B59" s="53"/>
      <c r="C59" s="54"/>
      <c r="D59" s="54"/>
      <c r="E59" s="54"/>
      <c r="F59" s="54"/>
      <c r="G59" s="55"/>
      <c r="H59" s="55"/>
      <c r="I59" s="55"/>
      <c r="J59" s="55"/>
      <c r="K59" s="55"/>
      <c r="L59" s="55"/>
      <c r="M59" s="55"/>
      <c r="N59" s="55"/>
      <c r="O59" s="55"/>
      <c r="P59" s="55"/>
      <c r="Q59" s="55"/>
      <c r="R59" s="55"/>
      <c r="S59" s="55"/>
      <c r="T59" s="55"/>
      <c r="U59" s="55"/>
      <c r="V59" s="55"/>
      <c r="W59" s="55"/>
      <c r="X59" s="45">
        <f t="shared" si="0"/>
        <v>0</v>
      </c>
    </row>
    <row r="60" spans="1:24" x14ac:dyDescent="0.25">
      <c r="A60" s="56" t="s">
        <v>572</v>
      </c>
      <c r="B60" s="57" t="s">
        <v>573</v>
      </c>
      <c r="C60" s="47" t="s">
        <v>574</v>
      </c>
      <c r="D60" s="47" t="s">
        <v>575</v>
      </c>
      <c r="E60" s="47" t="s">
        <v>538</v>
      </c>
      <c r="F60" s="47" t="s">
        <v>576</v>
      </c>
      <c r="G60" s="63" t="s">
        <v>3584</v>
      </c>
      <c r="H60" s="63" t="s">
        <v>3584</v>
      </c>
      <c r="I60" s="63" t="s">
        <v>3584</v>
      </c>
      <c r="J60" s="63" t="s">
        <v>3584</v>
      </c>
      <c r="K60" s="63" t="s">
        <v>3584</v>
      </c>
      <c r="L60" s="63" t="s">
        <v>3584</v>
      </c>
      <c r="M60" s="63" t="s">
        <v>3584</v>
      </c>
      <c r="N60" s="63" t="s">
        <v>3584</v>
      </c>
      <c r="O60" s="63" t="s">
        <v>3584</v>
      </c>
      <c r="P60" s="63" t="s">
        <v>3584</v>
      </c>
      <c r="Q60" s="63" t="s">
        <v>3584</v>
      </c>
      <c r="R60" s="63" t="s">
        <v>3584</v>
      </c>
      <c r="S60" s="63" t="s">
        <v>3584</v>
      </c>
      <c r="T60" s="63" t="s">
        <v>3584</v>
      </c>
      <c r="U60" s="63" t="s">
        <v>3584</v>
      </c>
      <c r="V60" s="63" t="s">
        <v>3584</v>
      </c>
      <c r="W60" s="63" t="s">
        <v>3584</v>
      </c>
      <c r="X60" s="45">
        <f t="shared" si="0"/>
        <v>17</v>
      </c>
    </row>
    <row r="61" spans="1:24" ht="30" x14ac:dyDescent="0.25">
      <c r="A61" s="56" t="s">
        <v>572</v>
      </c>
      <c r="B61" s="57" t="s">
        <v>577</v>
      </c>
      <c r="C61" s="47" t="s">
        <v>578</v>
      </c>
      <c r="D61" s="47" t="s">
        <v>579</v>
      </c>
      <c r="E61" s="47" t="s">
        <v>538</v>
      </c>
      <c r="F61" s="47" t="s">
        <v>538</v>
      </c>
      <c r="G61" s="61" t="s">
        <v>2528</v>
      </c>
      <c r="H61" s="61" t="s">
        <v>2528</v>
      </c>
      <c r="I61" s="61" t="s">
        <v>2528</v>
      </c>
      <c r="J61" s="61" t="s">
        <v>2528</v>
      </c>
      <c r="K61" s="61" t="s">
        <v>2528</v>
      </c>
      <c r="L61" s="61" t="s">
        <v>2528</v>
      </c>
      <c r="M61" s="61" t="s">
        <v>2528</v>
      </c>
      <c r="N61" s="61" t="s">
        <v>2528</v>
      </c>
      <c r="O61" s="61" t="s">
        <v>2528</v>
      </c>
      <c r="P61" s="61" t="s">
        <v>2528</v>
      </c>
      <c r="Q61" s="61" t="s">
        <v>2528</v>
      </c>
      <c r="R61" s="61" t="s">
        <v>2528</v>
      </c>
      <c r="S61" s="61" t="s">
        <v>2528</v>
      </c>
      <c r="T61" s="61" t="s">
        <v>2528</v>
      </c>
      <c r="U61" s="61" t="s">
        <v>2528</v>
      </c>
      <c r="V61" s="61" t="s">
        <v>2528</v>
      </c>
      <c r="W61" s="61" t="s">
        <v>2528</v>
      </c>
      <c r="X61" s="45">
        <f t="shared" si="0"/>
        <v>17</v>
      </c>
    </row>
    <row r="62" spans="1:24" ht="120" x14ac:dyDescent="0.25">
      <c r="A62" s="56" t="s">
        <v>572</v>
      </c>
      <c r="B62" s="57" t="s">
        <v>580</v>
      </c>
      <c r="C62" s="47" t="s">
        <v>581</v>
      </c>
      <c r="D62" s="47" t="s">
        <v>582</v>
      </c>
      <c r="E62" s="47" t="s">
        <v>583</v>
      </c>
      <c r="F62" s="47" t="s">
        <v>584</v>
      </c>
      <c r="G62" s="61" t="s">
        <v>2528</v>
      </c>
      <c r="H62" s="61" t="s">
        <v>2528</v>
      </c>
      <c r="I62" s="58" t="s">
        <v>123</v>
      </c>
      <c r="J62" s="61" t="s">
        <v>2528</v>
      </c>
      <c r="K62" s="61" t="s">
        <v>2528</v>
      </c>
      <c r="L62" s="61" t="s">
        <v>2528</v>
      </c>
      <c r="M62" s="58" t="s">
        <v>123</v>
      </c>
      <c r="N62" s="58" t="s">
        <v>123</v>
      </c>
      <c r="O62" s="61" t="s">
        <v>2528</v>
      </c>
      <c r="P62" s="58" t="s">
        <v>123</v>
      </c>
      <c r="Q62" s="58" t="s">
        <v>123</v>
      </c>
      <c r="R62" s="58" t="s">
        <v>123</v>
      </c>
      <c r="S62" s="61" t="s">
        <v>2528</v>
      </c>
      <c r="T62" s="61" t="s">
        <v>123</v>
      </c>
      <c r="U62" s="58" t="s">
        <v>123</v>
      </c>
      <c r="V62" s="61" t="s">
        <v>123</v>
      </c>
      <c r="W62" s="58" t="s">
        <v>123</v>
      </c>
      <c r="X62" s="45">
        <f t="shared" si="0"/>
        <v>7</v>
      </c>
    </row>
    <row r="63" spans="1:24" ht="120" x14ac:dyDescent="0.25">
      <c r="A63" s="56" t="s">
        <v>572</v>
      </c>
      <c r="B63" s="57" t="s">
        <v>585</v>
      </c>
      <c r="C63" s="47" t="s">
        <v>586</v>
      </c>
      <c r="D63" s="47" t="s">
        <v>587</v>
      </c>
      <c r="E63" s="47" t="s">
        <v>588</v>
      </c>
      <c r="F63" s="47" t="s">
        <v>584</v>
      </c>
      <c r="G63" s="58" t="s">
        <v>123</v>
      </c>
      <c r="H63" s="58" t="s">
        <v>123</v>
      </c>
      <c r="I63" s="61" t="s">
        <v>2528</v>
      </c>
      <c r="J63" s="58" t="s">
        <v>123</v>
      </c>
      <c r="K63" s="58" t="s">
        <v>123</v>
      </c>
      <c r="L63" s="58" t="s">
        <v>123</v>
      </c>
      <c r="M63" s="61" t="s">
        <v>2528</v>
      </c>
      <c r="N63" s="61" t="s">
        <v>2528</v>
      </c>
      <c r="O63" s="58" t="s">
        <v>123</v>
      </c>
      <c r="P63" s="61" t="s">
        <v>2528</v>
      </c>
      <c r="Q63" s="61" t="s">
        <v>2528</v>
      </c>
      <c r="R63" s="61" t="s">
        <v>2528</v>
      </c>
      <c r="S63" s="58" t="s">
        <v>123</v>
      </c>
      <c r="T63" s="61" t="s">
        <v>2528</v>
      </c>
      <c r="U63" s="61" t="s">
        <v>2528</v>
      </c>
      <c r="V63" s="61" t="s">
        <v>2528</v>
      </c>
      <c r="W63" s="61" t="s">
        <v>2528</v>
      </c>
      <c r="X63" s="45">
        <f t="shared" si="0"/>
        <v>10</v>
      </c>
    </row>
    <row r="64" spans="1:24" x14ac:dyDescent="0.25">
      <c r="A64" s="41" t="s">
        <v>589</v>
      </c>
      <c r="B64" s="53"/>
      <c r="C64" s="54"/>
      <c r="D64" s="54"/>
      <c r="E64" s="54"/>
      <c r="F64" s="54"/>
      <c r="G64" s="55"/>
      <c r="H64" s="55"/>
      <c r="I64" s="55"/>
      <c r="J64" s="55"/>
      <c r="K64" s="55"/>
      <c r="L64" s="55"/>
      <c r="M64" s="55"/>
      <c r="N64" s="55"/>
      <c r="O64" s="55"/>
      <c r="P64" s="55"/>
      <c r="Q64" s="55"/>
      <c r="R64" s="55"/>
      <c r="S64" s="55"/>
      <c r="T64" s="55"/>
      <c r="U64" s="55"/>
      <c r="V64" s="55"/>
      <c r="W64" s="55"/>
      <c r="X64" s="45">
        <f t="shared" si="0"/>
        <v>0</v>
      </c>
    </row>
    <row r="65" spans="1:24" ht="30" x14ac:dyDescent="0.25">
      <c r="A65" s="56" t="s">
        <v>589</v>
      </c>
      <c r="B65" s="57" t="s">
        <v>590</v>
      </c>
      <c r="C65" s="47" t="s">
        <v>591</v>
      </c>
      <c r="D65" s="47" t="s">
        <v>592</v>
      </c>
      <c r="E65" s="47" t="s">
        <v>538</v>
      </c>
      <c r="F65" s="47" t="s">
        <v>538</v>
      </c>
      <c r="G65" s="61" t="s">
        <v>2528</v>
      </c>
      <c r="H65" s="61" t="s">
        <v>2528</v>
      </c>
      <c r="I65" s="61" t="s">
        <v>2528</v>
      </c>
      <c r="J65" s="61" t="s">
        <v>2528</v>
      </c>
      <c r="K65" s="62" t="s">
        <v>3646</v>
      </c>
      <c r="L65" s="62" t="s">
        <v>3646</v>
      </c>
      <c r="M65" s="62" t="s">
        <v>3646</v>
      </c>
      <c r="N65" s="62" t="s">
        <v>3646</v>
      </c>
      <c r="O65" s="62" t="s">
        <v>3646</v>
      </c>
      <c r="P65" s="62" t="s">
        <v>3646</v>
      </c>
      <c r="Q65" s="62" t="s">
        <v>3646</v>
      </c>
      <c r="R65" s="62" t="s">
        <v>3646</v>
      </c>
      <c r="S65" s="61" t="s">
        <v>2528</v>
      </c>
      <c r="T65" s="62" t="s">
        <v>3675</v>
      </c>
      <c r="U65" s="62" t="s">
        <v>3706</v>
      </c>
      <c r="V65" s="62" t="s">
        <v>3678</v>
      </c>
      <c r="W65" s="62" t="s">
        <v>3705</v>
      </c>
      <c r="X65" s="45">
        <f t="shared" si="0"/>
        <v>5</v>
      </c>
    </row>
    <row r="66" spans="1:24" ht="60" x14ac:dyDescent="0.25">
      <c r="A66" s="56" t="s">
        <v>589</v>
      </c>
      <c r="B66" s="57" t="s">
        <v>593</v>
      </c>
      <c r="C66" s="47" t="s">
        <v>594</v>
      </c>
      <c r="D66" s="47" t="s">
        <v>595</v>
      </c>
      <c r="E66" s="47" t="s">
        <v>596</v>
      </c>
      <c r="F66" s="47" t="s">
        <v>538</v>
      </c>
      <c r="G66" s="64" t="s">
        <v>3585</v>
      </c>
      <c r="H66" s="64" t="s">
        <v>3585</v>
      </c>
      <c r="I66" s="64" t="s">
        <v>3585</v>
      </c>
      <c r="J66" s="64" t="s">
        <v>3585</v>
      </c>
      <c r="K66" s="65" t="s">
        <v>3647</v>
      </c>
      <c r="L66" s="65" t="s">
        <v>3647</v>
      </c>
      <c r="M66" s="65" t="s">
        <v>3647</v>
      </c>
      <c r="N66" s="65" t="s">
        <v>3647</v>
      </c>
      <c r="O66" s="65" t="s">
        <v>3647</v>
      </c>
      <c r="P66" s="65" t="s">
        <v>3647</v>
      </c>
      <c r="Q66" s="65" t="s">
        <v>3647</v>
      </c>
      <c r="R66" s="65" t="s">
        <v>3647</v>
      </c>
      <c r="S66" s="64" t="s">
        <v>3585</v>
      </c>
      <c r="T66" s="83" t="s">
        <v>3672</v>
      </c>
      <c r="U66" s="83" t="s">
        <v>3687</v>
      </c>
      <c r="V66" s="83" t="s">
        <v>3673</v>
      </c>
      <c r="W66" s="83" t="s">
        <v>3687</v>
      </c>
      <c r="X66" s="45">
        <f t="shared" si="0"/>
        <v>12</v>
      </c>
    </row>
    <row r="67" spans="1:24" ht="30" x14ac:dyDescent="0.25">
      <c r="A67" s="56" t="s">
        <v>589</v>
      </c>
      <c r="B67" s="57" t="s">
        <v>597</v>
      </c>
      <c r="C67" s="47" t="s">
        <v>598</v>
      </c>
      <c r="D67" s="47" t="s">
        <v>599</v>
      </c>
      <c r="E67" s="47" t="s">
        <v>600</v>
      </c>
      <c r="F67" s="47" t="s">
        <v>538</v>
      </c>
      <c r="G67" s="64" t="s">
        <v>3585</v>
      </c>
      <c r="H67" s="64" t="s">
        <v>3585</v>
      </c>
      <c r="I67" s="61" t="s">
        <v>2528</v>
      </c>
      <c r="J67" s="64" t="s">
        <v>3585</v>
      </c>
      <c r="K67" s="65" t="s">
        <v>3647</v>
      </c>
      <c r="L67" s="65" t="s">
        <v>3647</v>
      </c>
      <c r="M67" s="61" t="s">
        <v>2528</v>
      </c>
      <c r="N67" s="61" t="s">
        <v>2528</v>
      </c>
      <c r="O67" s="65" t="s">
        <v>3647</v>
      </c>
      <c r="P67" s="61" t="s">
        <v>2528</v>
      </c>
      <c r="Q67" s="61" t="s">
        <v>2528</v>
      </c>
      <c r="R67" s="61" t="s">
        <v>2528</v>
      </c>
      <c r="S67" s="64" t="s">
        <v>3585</v>
      </c>
      <c r="T67" s="84" t="s">
        <v>2528</v>
      </c>
      <c r="U67" s="61" t="s">
        <v>2528</v>
      </c>
      <c r="V67" s="84" t="s">
        <v>2528</v>
      </c>
      <c r="W67" s="61" t="s">
        <v>2528</v>
      </c>
      <c r="X67" s="45">
        <f t="shared" si="0"/>
        <v>13</v>
      </c>
    </row>
    <row r="68" spans="1:24" ht="30" x14ac:dyDescent="0.25">
      <c r="A68" s="56" t="s">
        <v>589</v>
      </c>
      <c r="B68" s="57" t="s">
        <v>601</v>
      </c>
      <c r="C68" s="47" t="s">
        <v>602</v>
      </c>
      <c r="D68" s="47" t="s">
        <v>603</v>
      </c>
      <c r="E68" s="47" t="s">
        <v>604</v>
      </c>
      <c r="F68" s="47" t="s">
        <v>538</v>
      </c>
      <c r="G68" s="64" t="s">
        <v>3585</v>
      </c>
      <c r="H68" s="64" t="s">
        <v>3585</v>
      </c>
      <c r="I68" s="61" t="s">
        <v>2528</v>
      </c>
      <c r="J68" s="64" t="s">
        <v>3585</v>
      </c>
      <c r="K68" s="65" t="s">
        <v>3647</v>
      </c>
      <c r="L68" s="65" t="s">
        <v>3647</v>
      </c>
      <c r="M68" s="61" t="s">
        <v>2528</v>
      </c>
      <c r="N68" s="61" t="s">
        <v>2528</v>
      </c>
      <c r="O68" s="65" t="s">
        <v>3647</v>
      </c>
      <c r="P68" s="61" t="s">
        <v>2528</v>
      </c>
      <c r="Q68" s="61" t="s">
        <v>2528</v>
      </c>
      <c r="R68" s="61" t="s">
        <v>2528</v>
      </c>
      <c r="S68" s="64" t="s">
        <v>3585</v>
      </c>
      <c r="T68" s="84" t="s">
        <v>2528</v>
      </c>
      <c r="U68" s="61" t="s">
        <v>2528</v>
      </c>
      <c r="V68" s="84" t="s">
        <v>2528</v>
      </c>
      <c r="W68" s="61" t="s">
        <v>2528</v>
      </c>
      <c r="X68" s="45">
        <f t="shared" si="0"/>
        <v>13</v>
      </c>
    </row>
    <row r="69" spans="1:24" x14ac:dyDescent="0.25">
      <c r="A69" s="41" t="s">
        <v>605</v>
      </c>
      <c r="B69" s="53"/>
      <c r="C69" s="54"/>
      <c r="D69" s="54"/>
      <c r="E69" s="54"/>
      <c r="F69" s="54"/>
      <c r="G69" s="55"/>
      <c r="H69" s="55"/>
      <c r="I69" s="55"/>
      <c r="J69" s="55"/>
      <c r="K69" s="55"/>
      <c r="L69" s="55"/>
      <c r="M69" s="55"/>
      <c r="N69" s="55"/>
      <c r="O69" s="55"/>
      <c r="P69" s="55"/>
      <c r="Q69" s="55"/>
      <c r="R69" s="55"/>
      <c r="S69" s="55"/>
      <c r="T69" s="55"/>
      <c r="U69" s="55"/>
      <c r="V69" s="55"/>
      <c r="W69" s="55"/>
      <c r="X69" s="45">
        <f t="shared" si="0"/>
        <v>0</v>
      </c>
    </row>
    <row r="70" spans="1:24" x14ac:dyDescent="0.25">
      <c r="A70" s="56" t="s">
        <v>605</v>
      </c>
      <c r="B70" s="57" t="s">
        <v>606</v>
      </c>
      <c r="C70" s="47" t="s">
        <v>607</v>
      </c>
      <c r="D70" s="47" t="s">
        <v>608</v>
      </c>
      <c r="E70" s="47" t="s">
        <v>538</v>
      </c>
      <c r="F70" s="47" t="s">
        <v>538</v>
      </c>
      <c r="G70" s="64" t="s">
        <v>3585</v>
      </c>
      <c r="H70" s="64" t="s">
        <v>3585</v>
      </c>
      <c r="I70" s="61" t="s">
        <v>2528</v>
      </c>
      <c r="J70" s="64" t="s">
        <v>3585</v>
      </c>
      <c r="K70" s="65" t="s">
        <v>3647</v>
      </c>
      <c r="L70" s="65" t="s">
        <v>3647</v>
      </c>
      <c r="M70" s="61" t="s">
        <v>2528</v>
      </c>
      <c r="N70" s="61" t="s">
        <v>2528</v>
      </c>
      <c r="O70" s="65" t="s">
        <v>3647</v>
      </c>
      <c r="P70" s="61" t="s">
        <v>2528</v>
      </c>
      <c r="Q70" s="61" t="s">
        <v>2528</v>
      </c>
      <c r="R70" s="61" t="s">
        <v>2528</v>
      </c>
      <c r="S70" s="64" t="s">
        <v>3585</v>
      </c>
      <c r="T70" s="84" t="s">
        <v>2528</v>
      </c>
      <c r="U70" s="61" t="s">
        <v>2528</v>
      </c>
      <c r="V70" s="84" t="s">
        <v>2528</v>
      </c>
      <c r="W70" s="61" t="s">
        <v>2528</v>
      </c>
      <c r="X70" s="45">
        <f t="shared" si="0"/>
        <v>13</v>
      </c>
    </row>
    <row r="71" spans="1:24" x14ac:dyDescent="0.25">
      <c r="A71" s="41" t="s">
        <v>609</v>
      </c>
      <c r="B71" s="53"/>
      <c r="C71" s="54"/>
      <c r="D71" s="54"/>
      <c r="E71" s="54"/>
      <c r="F71" s="54"/>
      <c r="G71" s="55"/>
      <c r="H71" s="55"/>
      <c r="I71" s="55"/>
      <c r="J71" s="55"/>
      <c r="K71" s="55"/>
      <c r="L71" s="55"/>
      <c r="M71" s="55"/>
      <c r="N71" s="55"/>
      <c r="O71" s="55"/>
      <c r="P71" s="55"/>
      <c r="Q71" s="55"/>
      <c r="R71" s="55"/>
      <c r="S71" s="55"/>
      <c r="T71" s="55"/>
      <c r="U71" s="55"/>
      <c r="V71" s="55"/>
      <c r="W71" s="55"/>
      <c r="X71" s="45">
        <f t="shared" si="0"/>
        <v>0</v>
      </c>
    </row>
    <row r="72" spans="1:24" x14ac:dyDescent="0.25">
      <c r="A72" s="56" t="s">
        <v>609</v>
      </c>
      <c r="B72" s="57" t="s">
        <v>610</v>
      </c>
      <c r="C72" s="86" t="s">
        <v>611</v>
      </c>
      <c r="D72" s="86" t="s">
        <v>612</v>
      </c>
      <c r="E72" s="47" t="s">
        <v>538</v>
      </c>
      <c r="F72" s="47" t="s">
        <v>538</v>
      </c>
      <c r="G72" s="65" t="s">
        <v>3645</v>
      </c>
      <c r="H72" s="62" t="s">
        <v>3644</v>
      </c>
      <c r="I72" s="62" t="s">
        <v>3644</v>
      </c>
      <c r="J72" s="62" t="s">
        <v>3644</v>
      </c>
      <c r="K72" s="62" t="s">
        <v>3644</v>
      </c>
      <c r="L72" s="62" t="s">
        <v>3644</v>
      </c>
      <c r="M72" s="62" t="s">
        <v>3644</v>
      </c>
      <c r="N72" s="62" t="s">
        <v>3644</v>
      </c>
      <c r="O72" s="65" t="s">
        <v>3645</v>
      </c>
      <c r="P72" s="65" t="s">
        <v>3645</v>
      </c>
      <c r="Q72" s="62" t="s">
        <v>3644</v>
      </c>
      <c r="R72" s="62" t="s">
        <v>3644</v>
      </c>
      <c r="S72" s="65" t="s">
        <v>3645</v>
      </c>
      <c r="T72" s="64" t="s">
        <v>3644</v>
      </c>
      <c r="U72" s="62" t="s">
        <v>3644</v>
      </c>
      <c r="V72" s="64" t="s">
        <v>3644</v>
      </c>
      <c r="W72" s="62" t="s">
        <v>3644</v>
      </c>
      <c r="X72" s="45">
        <f t="shared" si="0"/>
        <v>4</v>
      </c>
    </row>
    <row r="73" spans="1:24" x14ac:dyDescent="0.25">
      <c r="A73" s="41" t="s">
        <v>613</v>
      </c>
      <c r="B73" s="53"/>
      <c r="C73" s="54"/>
      <c r="D73" s="54"/>
      <c r="E73" s="54"/>
      <c r="F73" s="54"/>
      <c r="G73" s="55"/>
      <c r="H73" s="55"/>
      <c r="I73" s="55"/>
      <c r="J73" s="55"/>
      <c r="K73" s="55"/>
      <c r="L73" s="55"/>
      <c r="M73" s="55"/>
      <c r="N73" s="55"/>
      <c r="O73" s="55"/>
      <c r="P73" s="55"/>
      <c r="Q73" s="55"/>
      <c r="R73" s="55"/>
      <c r="S73" s="55"/>
      <c r="T73" s="55"/>
      <c r="U73" s="55"/>
      <c r="V73" s="55"/>
      <c r="W73" s="55"/>
      <c r="X73" s="45">
        <f t="shared" si="0"/>
        <v>0</v>
      </c>
    </row>
    <row r="74" spans="1:24" x14ac:dyDescent="0.25">
      <c r="A74" s="56" t="s">
        <v>613</v>
      </c>
      <c r="B74" s="57" t="s">
        <v>614</v>
      </c>
      <c r="C74" s="86" t="s">
        <v>615</v>
      </c>
      <c r="D74" s="86" t="s">
        <v>616</v>
      </c>
      <c r="E74" s="47" t="s">
        <v>538</v>
      </c>
      <c r="F74" s="47" t="s">
        <v>538</v>
      </c>
      <c r="G74" s="62" t="s">
        <v>3644</v>
      </c>
      <c r="H74" s="62" t="s">
        <v>3644</v>
      </c>
      <c r="I74" s="62" t="s">
        <v>3644</v>
      </c>
      <c r="J74" s="62" t="s">
        <v>3644</v>
      </c>
      <c r="K74" s="62" t="s">
        <v>3644</v>
      </c>
      <c r="L74" s="58" t="s">
        <v>123</v>
      </c>
      <c r="M74" s="62" t="s">
        <v>3644</v>
      </c>
      <c r="N74" s="62" t="s">
        <v>3644</v>
      </c>
      <c r="O74" s="62" t="s">
        <v>3644</v>
      </c>
      <c r="P74" s="62" t="s">
        <v>3644</v>
      </c>
      <c r="Q74" s="62" t="s">
        <v>3644</v>
      </c>
      <c r="R74" s="62" t="s">
        <v>3644</v>
      </c>
      <c r="S74" s="62" t="s">
        <v>3644</v>
      </c>
      <c r="T74" s="64" t="s">
        <v>3644</v>
      </c>
      <c r="U74" s="62" t="s">
        <v>3644</v>
      </c>
      <c r="V74" s="64" t="s">
        <v>3644</v>
      </c>
      <c r="W74" s="62" t="s">
        <v>3644</v>
      </c>
      <c r="X74" s="85">
        <f t="shared" si="0"/>
        <v>0</v>
      </c>
    </row>
    <row r="75" spans="1:24" x14ac:dyDescent="0.25">
      <c r="A75" s="56" t="s">
        <v>613</v>
      </c>
      <c r="B75" s="57" t="s">
        <v>617</v>
      </c>
      <c r="C75" s="86" t="s">
        <v>618</v>
      </c>
      <c r="D75" s="89" t="s">
        <v>619</v>
      </c>
      <c r="E75" s="47" t="s">
        <v>538</v>
      </c>
      <c r="F75" s="47" t="s">
        <v>538</v>
      </c>
      <c r="G75" s="62" t="s">
        <v>3644</v>
      </c>
      <c r="H75" s="62" t="s">
        <v>3644</v>
      </c>
      <c r="I75" s="65" t="s">
        <v>3645</v>
      </c>
      <c r="J75" s="65" t="s">
        <v>3645</v>
      </c>
      <c r="K75" s="62" t="s">
        <v>3644</v>
      </c>
      <c r="L75" s="62" t="s">
        <v>3644</v>
      </c>
      <c r="M75" s="83" t="s">
        <v>3645</v>
      </c>
      <c r="N75" s="62" t="s">
        <v>3644</v>
      </c>
      <c r="O75" s="62" t="s">
        <v>3644</v>
      </c>
      <c r="P75" s="62" t="s">
        <v>3644</v>
      </c>
      <c r="Q75" s="62" t="s">
        <v>3644</v>
      </c>
      <c r="R75" s="62" t="s">
        <v>3644</v>
      </c>
      <c r="S75" s="62" t="s">
        <v>3644</v>
      </c>
      <c r="T75" s="64" t="s">
        <v>3644</v>
      </c>
      <c r="U75" s="64" t="s">
        <v>3644</v>
      </c>
      <c r="V75" s="64" t="s">
        <v>3644</v>
      </c>
      <c r="W75" s="64" t="s">
        <v>3644</v>
      </c>
      <c r="X75" s="85">
        <f t="shared" si="0"/>
        <v>3</v>
      </c>
    </row>
    <row r="76" spans="1:24" x14ac:dyDescent="0.25">
      <c r="A76" s="56" t="s">
        <v>613</v>
      </c>
      <c r="B76" s="57" t="s">
        <v>620</v>
      </c>
      <c r="C76" s="86" t="s">
        <v>621</v>
      </c>
      <c r="D76" s="86" t="s">
        <v>622</v>
      </c>
      <c r="E76" s="47" t="s">
        <v>538</v>
      </c>
      <c r="F76" s="47" t="s">
        <v>538</v>
      </c>
      <c r="G76" s="62" t="s">
        <v>3644</v>
      </c>
      <c r="H76" s="62" t="s">
        <v>3644</v>
      </c>
      <c r="I76" s="62" t="s">
        <v>3644</v>
      </c>
      <c r="J76" s="62" t="s">
        <v>3644</v>
      </c>
      <c r="K76" s="62" t="s">
        <v>3644</v>
      </c>
      <c r="L76" s="62" t="s">
        <v>3644</v>
      </c>
      <c r="M76" s="62" t="s">
        <v>3644</v>
      </c>
      <c r="N76" s="62" t="s">
        <v>3644</v>
      </c>
      <c r="O76" s="62" t="s">
        <v>3644</v>
      </c>
      <c r="P76" s="62" t="s">
        <v>3644</v>
      </c>
      <c r="Q76" s="62" t="s">
        <v>3644</v>
      </c>
      <c r="R76" s="62" t="s">
        <v>3644</v>
      </c>
      <c r="S76" s="62" t="s">
        <v>3644</v>
      </c>
      <c r="T76" s="64" t="s">
        <v>3644</v>
      </c>
      <c r="U76" s="62" t="s">
        <v>3644</v>
      </c>
      <c r="V76" s="64" t="s">
        <v>3644</v>
      </c>
      <c r="W76" s="62" t="s">
        <v>3644</v>
      </c>
      <c r="X76" s="85">
        <f t="shared" ref="X76:X107" si="1">COUNTIF(G76:W76,"*-Y")+COUNTIF(G76:W76,"S")+COUNTIF(G76:W76,"M")</f>
        <v>0</v>
      </c>
    </row>
    <row r="77" spans="1:24" x14ac:dyDescent="0.25">
      <c r="A77" s="56" t="s">
        <v>613</v>
      </c>
      <c r="B77" s="57" t="s">
        <v>623</v>
      </c>
      <c r="C77" s="86" t="s">
        <v>624</v>
      </c>
      <c r="D77" s="86" t="s">
        <v>625</v>
      </c>
      <c r="E77" s="47" t="s">
        <v>538</v>
      </c>
      <c r="F77" s="47" t="s">
        <v>538</v>
      </c>
      <c r="G77" s="62" t="s">
        <v>3644</v>
      </c>
      <c r="H77" s="62" t="s">
        <v>3644</v>
      </c>
      <c r="I77" s="62" t="s">
        <v>3644</v>
      </c>
      <c r="J77" s="62" t="s">
        <v>3644</v>
      </c>
      <c r="K77" s="65" t="s">
        <v>3645</v>
      </c>
      <c r="L77" s="62" t="s">
        <v>3644</v>
      </c>
      <c r="M77" s="62" t="s">
        <v>3644</v>
      </c>
      <c r="N77" s="62" t="s">
        <v>3644</v>
      </c>
      <c r="O77" s="62" t="s">
        <v>3644</v>
      </c>
      <c r="P77" s="62" t="s">
        <v>3644</v>
      </c>
      <c r="Q77" s="62" t="s">
        <v>3644</v>
      </c>
      <c r="R77" s="62" t="s">
        <v>3644</v>
      </c>
      <c r="S77" s="62" t="s">
        <v>3644</v>
      </c>
      <c r="T77" s="64" t="s">
        <v>3644</v>
      </c>
      <c r="U77" s="62" t="s">
        <v>3644</v>
      </c>
      <c r="V77" s="64" t="s">
        <v>3681</v>
      </c>
      <c r="W77" s="62" t="s">
        <v>3644</v>
      </c>
      <c r="X77" s="85">
        <f t="shared" si="1"/>
        <v>1</v>
      </c>
    </row>
    <row r="78" spans="1:24" x14ac:dyDescent="0.25">
      <c r="A78" s="56" t="s">
        <v>613</v>
      </c>
      <c r="B78" s="57" t="s">
        <v>626</v>
      </c>
      <c r="C78" s="86" t="s">
        <v>627</v>
      </c>
      <c r="D78" s="89" t="s">
        <v>628</v>
      </c>
      <c r="E78" s="47" t="s">
        <v>538</v>
      </c>
      <c r="F78" s="47" t="s">
        <v>538</v>
      </c>
      <c r="G78" s="62" t="s">
        <v>3644</v>
      </c>
      <c r="H78" s="65" t="s">
        <v>3645</v>
      </c>
      <c r="I78" s="62" t="s">
        <v>3644</v>
      </c>
      <c r="J78" s="62" t="s">
        <v>3644</v>
      </c>
      <c r="K78" s="62" t="s">
        <v>3644</v>
      </c>
      <c r="L78" s="65" t="s">
        <v>3645</v>
      </c>
      <c r="M78" s="62" t="s">
        <v>3644</v>
      </c>
      <c r="N78" s="62" t="s">
        <v>3644</v>
      </c>
      <c r="O78" s="62" t="s">
        <v>3644</v>
      </c>
      <c r="P78" s="62" t="s">
        <v>3644</v>
      </c>
      <c r="Q78" s="62" t="s">
        <v>3644</v>
      </c>
      <c r="R78" s="62" t="s">
        <v>3644</v>
      </c>
      <c r="S78" s="62" t="s">
        <v>3644</v>
      </c>
      <c r="T78" s="64" t="s">
        <v>3644</v>
      </c>
      <c r="U78" s="83" t="s">
        <v>3645</v>
      </c>
      <c r="V78" s="64" t="s">
        <v>3644</v>
      </c>
      <c r="W78" s="83" t="s">
        <v>3645</v>
      </c>
      <c r="X78" s="85">
        <f t="shared" si="1"/>
        <v>4</v>
      </c>
    </row>
    <row r="79" spans="1:24" x14ac:dyDescent="0.25">
      <c r="A79" s="56" t="s">
        <v>613</v>
      </c>
      <c r="B79" s="57" t="s">
        <v>629</v>
      </c>
      <c r="C79" s="86" t="s">
        <v>630</v>
      </c>
      <c r="D79" s="89" t="s">
        <v>3682</v>
      </c>
      <c r="E79" s="47" t="s">
        <v>538</v>
      </c>
      <c r="F79" s="47" t="s">
        <v>538</v>
      </c>
      <c r="G79" s="62" t="s">
        <v>3644</v>
      </c>
      <c r="H79" s="62" t="s">
        <v>3644</v>
      </c>
      <c r="I79" s="62" t="s">
        <v>3644</v>
      </c>
      <c r="J79" s="62" t="s">
        <v>3644</v>
      </c>
      <c r="K79" s="62" t="s">
        <v>3644</v>
      </c>
      <c r="L79" s="62" t="s">
        <v>3644</v>
      </c>
      <c r="M79" s="64" t="s">
        <v>3644</v>
      </c>
      <c r="N79" s="62" t="s">
        <v>3644</v>
      </c>
      <c r="O79" s="62" t="s">
        <v>3644</v>
      </c>
      <c r="P79" s="62" t="s">
        <v>3644</v>
      </c>
      <c r="Q79" s="65" t="s">
        <v>3645</v>
      </c>
      <c r="R79" s="65" t="s">
        <v>3645</v>
      </c>
      <c r="S79" s="62" t="s">
        <v>3644</v>
      </c>
      <c r="T79" s="83" t="s">
        <v>3645</v>
      </c>
      <c r="U79" s="64" t="s">
        <v>3644</v>
      </c>
      <c r="V79" s="83" t="s">
        <v>3645</v>
      </c>
      <c r="W79" s="62" t="s">
        <v>3644</v>
      </c>
      <c r="X79" s="85">
        <f t="shared" si="1"/>
        <v>4</v>
      </c>
    </row>
    <row r="80" spans="1:24" x14ac:dyDescent="0.25">
      <c r="A80" s="41" t="s">
        <v>631</v>
      </c>
      <c r="B80" s="53"/>
      <c r="C80" s="54"/>
      <c r="D80" s="54"/>
      <c r="E80" s="54"/>
      <c r="F80" s="54"/>
      <c r="G80" s="55"/>
      <c r="H80" s="55"/>
      <c r="I80" s="55"/>
      <c r="J80" s="55"/>
      <c r="K80" s="55"/>
      <c r="L80" s="55"/>
      <c r="M80" s="55"/>
      <c r="N80" s="55"/>
      <c r="O80" s="55"/>
      <c r="P80" s="55"/>
      <c r="Q80" s="55"/>
      <c r="R80" s="55"/>
      <c r="S80" s="55"/>
      <c r="T80" s="55"/>
      <c r="U80" s="55"/>
      <c r="V80" s="55"/>
      <c r="W80" s="55"/>
      <c r="X80" s="45">
        <f t="shared" si="1"/>
        <v>0</v>
      </c>
    </row>
    <row r="81" spans="1:24" x14ac:dyDescent="0.25">
      <c r="A81" s="56" t="s">
        <v>631</v>
      </c>
      <c r="B81" s="57" t="s">
        <v>632</v>
      </c>
      <c r="C81" s="86" t="s">
        <v>633</v>
      </c>
      <c r="D81" s="86" t="s">
        <v>634</v>
      </c>
      <c r="E81" s="47" t="s">
        <v>538</v>
      </c>
      <c r="F81" s="47" t="s">
        <v>538</v>
      </c>
      <c r="G81" s="62" t="s">
        <v>3644</v>
      </c>
      <c r="H81" s="62" t="s">
        <v>3644</v>
      </c>
      <c r="I81" s="62" t="s">
        <v>3644</v>
      </c>
      <c r="J81" s="62" t="s">
        <v>3644</v>
      </c>
      <c r="K81" s="62" t="s">
        <v>3644</v>
      </c>
      <c r="L81" s="62" t="s">
        <v>3644</v>
      </c>
      <c r="M81" s="62" t="s">
        <v>3644</v>
      </c>
      <c r="N81" s="65" t="s">
        <v>3645</v>
      </c>
      <c r="O81" s="62" t="s">
        <v>3644</v>
      </c>
      <c r="P81" s="62" t="s">
        <v>3644</v>
      </c>
      <c r="Q81" s="62" t="s">
        <v>3644</v>
      </c>
      <c r="R81" s="62" t="s">
        <v>3644</v>
      </c>
      <c r="S81" s="62" t="s">
        <v>3644</v>
      </c>
      <c r="T81" s="64" t="s">
        <v>3644</v>
      </c>
      <c r="U81" s="62" t="s">
        <v>3644</v>
      </c>
      <c r="V81" s="64" t="s">
        <v>3644</v>
      </c>
      <c r="W81" s="62" t="s">
        <v>3644</v>
      </c>
      <c r="X81" s="45">
        <f t="shared" si="1"/>
        <v>1</v>
      </c>
    </row>
    <row r="82" spans="1:24" x14ac:dyDescent="0.25">
      <c r="A82" s="41" t="s">
        <v>635</v>
      </c>
      <c r="B82" s="53"/>
      <c r="C82" s="54"/>
      <c r="D82" s="54"/>
      <c r="E82" s="54"/>
      <c r="F82" s="54"/>
      <c r="G82" s="55"/>
      <c r="H82" s="55"/>
      <c r="I82" s="55"/>
      <c r="J82" s="55"/>
      <c r="K82" s="55"/>
      <c r="L82" s="55"/>
      <c r="M82" s="55"/>
      <c r="N82" s="55"/>
      <c r="O82" s="55"/>
      <c r="P82" s="55"/>
      <c r="Q82" s="55"/>
      <c r="R82" s="55"/>
      <c r="S82" s="55"/>
      <c r="T82" s="55"/>
      <c r="U82" s="55"/>
      <c r="V82" s="55"/>
      <c r="W82" s="55"/>
      <c r="X82" s="45">
        <f t="shared" si="1"/>
        <v>0</v>
      </c>
    </row>
    <row r="83" spans="1:24" ht="45" x14ac:dyDescent="0.25">
      <c r="A83" s="56" t="s">
        <v>635</v>
      </c>
      <c r="B83" s="57" t="s">
        <v>636</v>
      </c>
      <c r="C83" s="47" t="s">
        <v>637</v>
      </c>
      <c r="D83" s="47" t="s">
        <v>638</v>
      </c>
      <c r="E83" s="47" t="s">
        <v>538</v>
      </c>
      <c r="F83" s="47" t="s">
        <v>638</v>
      </c>
      <c r="G83" s="62" t="s">
        <v>3644</v>
      </c>
      <c r="H83" s="61" t="s">
        <v>2528</v>
      </c>
      <c r="I83" s="62" t="s">
        <v>3644</v>
      </c>
      <c r="J83" s="62" t="s">
        <v>3644</v>
      </c>
      <c r="K83" s="62" t="s">
        <v>3644</v>
      </c>
      <c r="L83" s="62" t="s">
        <v>3644</v>
      </c>
      <c r="M83" s="62" t="s">
        <v>3644</v>
      </c>
      <c r="N83" s="62" t="s">
        <v>3644</v>
      </c>
      <c r="O83" s="61" t="s">
        <v>2528</v>
      </c>
      <c r="P83" s="62" t="s">
        <v>3644</v>
      </c>
      <c r="Q83" s="62" t="s">
        <v>3644</v>
      </c>
      <c r="R83" s="62" t="s">
        <v>3644</v>
      </c>
      <c r="S83" s="62" t="s">
        <v>3644</v>
      </c>
      <c r="T83" s="64" t="s">
        <v>3644</v>
      </c>
      <c r="U83" s="62" t="s">
        <v>3644</v>
      </c>
      <c r="V83" s="64" t="s">
        <v>3644</v>
      </c>
      <c r="W83" s="62" t="s">
        <v>3644</v>
      </c>
      <c r="X83" s="45">
        <f t="shared" si="1"/>
        <v>2</v>
      </c>
    </row>
    <row r="84" spans="1:24" ht="45" x14ac:dyDescent="0.25">
      <c r="A84" s="56" t="s">
        <v>635</v>
      </c>
      <c r="B84" s="57" t="s">
        <v>639</v>
      </c>
      <c r="C84" s="47" t="s">
        <v>640</v>
      </c>
      <c r="D84" s="47" t="s">
        <v>641</v>
      </c>
      <c r="E84" s="47" t="s">
        <v>538</v>
      </c>
      <c r="F84" s="47" t="s">
        <v>642</v>
      </c>
      <c r="G84" s="62" t="s">
        <v>3644</v>
      </c>
      <c r="H84" s="62" t="s">
        <v>3644</v>
      </c>
      <c r="I84" s="62" t="s">
        <v>3644</v>
      </c>
      <c r="J84" s="61" t="s">
        <v>2528</v>
      </c>
      <c r="K84" s="61" t="s">
        <v>2528</v>
      </c>
      <c r="L84" s="62" t="s">
        <v>3644</v>
      </c>
      <c r="M84" s="62" t="s">
        <v>3644</v>
      </c>
      <c r="N84" s="62" t="s">
        <v>3644</v>
      </c>
      <c r="O84" s="62" t="s">
        <v>3644</v>
      </c>
      <c r="P84" s="62" t="s">
        <v>3644</v>
      </c>
      <c r="Q84" s="62" t="s">
        <v>3644</v>
      </c>
      <c r="R84" s="62" t="s">
        <v>3644</v>
      </c>
      <c r="S84" s="62" t="s">
        <v>3644</v>
      </c>
      <c r="T84" s="64" t="s">
        <v>3644</v>
      </c>
      <c r="U84" s="62" t="s">
        <v>3644</v>
      </c>
      <c r="V84" s="64" t="s">
        <v>3644</v>
      </c>
      <c r="W84" s="62" t="s">
        <v>3644</v>
      </c>
      <c r="X84" s="45">
        <f t="shared" si="1"/>
        <v>2</v>
      </c>
    </row>
    <row r="85" spans="1:24" ht="30" x14ac:dyDescent="0.25">
      <c r="A85" s="56" t="s">
        <v>635</v>
      </c>
      <c r="B85" s="57" t="s">
        <v>643</v>
      </c>
      <c r="C85" s="47" t="s">
        <v>644</v>
      </c>
      <c r="D85" s="47" t="s">
        <v>645</v>
      </c>
      <c r="E85" s="47" t="s">
        <v>538</v>
      </c>
      <c r="F85" s="47" t="s">
        <v>646</v>
      </c>
      <c r="G85" s="61" t="s">
        <v>2528</v>
      </c>
      <c r="H85" s="62" t="s">
        <v>3644</v>
      </c>
      <c r="I85" s="62" t="s">
        <v>3644</v>
      </c>
      <c r="J85" s="62" t="s">
        <v>3644</v>
      </c>
      <c r="K85" s="62" t="s">
        <v>3644</v>
      </c>
      <c r="L85" s="62" t="s">
        <v>3644</v>
      </c>
      <c r="M85" s="62" t="s">
        <v>3644</v>
      </c>
      <c r="N85" s="62" t="s">
        <v>3644</v>
      </c>
      <c r="O85" s="62" t="s">
        <v>3644</v>
      </c>
      <c r="P85" s="62" t="s">
        <v>3644</v>
      </c>
      <c r="Q85" s="62" t="s">
        <v>3644</v>
      </c>
      <c r="R85" s="62" t="s">
        <v>3644</v>
      </c>
      <c r="S85" s="61" t="s">
        <v>2528</v>
      </c>
      <c r="T85" s="64" t="s">
        <v>3644</v>
      </c>
      <c r="U85" s="62" t="s">
        <v>3644</v>
      </c>
      <c r="V85" s="64" t="s">
        <v>3644</v>
      </c>
      <c r="W85" s="62" t="s">
        <v>3644</v>
      </c>
      <c r="X85" s="45">
        <f t="shared" si="1"/>
        <v>2</v>
      </c>
    </row>
    <row r="86" spans="1:24" ht="30" x14ac:dyDescent="0.25">
      <c r="A86" s="56" t="s">
        <v>635</v>
      </c>
      <c r="B86" s="57" t="s">
        <v>647</v>
      </c>
      <c r="C86" s="47" t="s">
        <v>648</v>
      </c>
      <c r="D86" s="47" t="s">
        <v>649</v>
      </c>
      <c r="E86" s="47" t="s">
        <v>538</v>
      </c>
      <c r="F86" s="47" t="s">
        <v>650</v>
      </c>
      <c r="G86" s="62" t="s">
        <v>3644</v>
      </c>
      <c r="H86" s="62" t="s">
        <v>3644</v>
      </c>
      <c r="I86" s="61" t="s">
        <v>2528</v>
      </c>
      <c r="J86" s="62" t="s">
        <v>3644</v>
      </c>
      <c r="K86" s="62" t="s">
        <v>3644</v>
      </c>
      <c r="L86" s="62" t="s">
        <v>3644</v>
      </c>
      <c r="M86" s="62" t="s">
        <v>3644</v>
      </c>
      <c r="N86" s="62" t="s">
        <v>3644</v>
      </c>
      <c r="O86" s="62" t="s">
        <v>3644</v>
      </c>
      <c r="P86" s="62" t="s">
        <v>3644</v>
      </c>
      <c r="Q86" s="62" t="s">
        <v>3644</v>
      </c>
      <c r="R86" s="62" t="s">
        <v>3644</v>
      </c>
      <c r="S86" s="62" t="s">
        <v>3644</v>
      </c>
      <c r="T86" s="83" t="s">
        <v>3645</v>
      </c>
      <c r="U86" s="64" t="s">
        <v>3644</v>
      </c>
      <c r="V86" s="64" t="s">
        <v>3644</v>
      </c>
      <c r="W86" s="83" t="s">
        <v>3645</v>
      </c>
      <c r="X86" s="45">
        <f t="shared" si="1"/>
        <v>3</v>
      </c>
    </row>
    <row r="87" spans="1:24" ht="45" x14ac:dyDescent="0.25">
      <c r="A87" s="56" t="s">
        <v>635</v>
      </c>
      <c r="B87" s="57" t="s">
        <v>651</v>
      </c>
      <c r="C87" s="47" t="s">
        <v>652</v>
      </c>
      <c r="D87" s="47" t="s">
        <v>653</v>
      </c>
      <c r="E87" s="47" t="s">
        <v>538</v>
      </c>
      <c r="F87" s="47" t="s">
        <v>653</v>
      </c>
      <c r="G87" s="62" t="s">
        <v>3644</v>
      </c>
      <c r="H87" s="62" t="s">
        <v>3644</v>
      </c>
      <c r="I87" s="62" t="s">
        <v>3644</v>
      </c>
      <c r="J87" s="62" t="s">
        <v>3644</v>
      </c>
      <c r="K87" s="62" t="s">
        <v>3644</v>
      </c>
      <c r="L87" s="61" t="s">
        <v>2528</v>
      </c>
      <c r="M87" s="61" t="s">
        <v>2528</v>
      </c>
      <c r="N87" s="61" t="s">
        <v>2528</v>
      </c>
      <c r="O87" s="62" t="s">
        <v>3644</v>
      </c>
      <c r="P87" s="61" t="s">
        <v>2528</v>
      </c>
      <c r="Q87" s="61" t="s">
        <v>2528</v>
      </c>
      <c r="R87" s="61" t="s">
        <v>2528</v>
      </c>
      <c r="S87" s="62" t="s">
        <v>3644</v>
      </c>
      <c r="T87" s="64" t="s">
        <v>3646</v>
      </c>
      <c r="U87" s="61" t="s">
        <v>2528</v>
      </c>
      <c r="V87" s="61" t="s">
        <v>2528</v>
      </c>
      <c r="W87" s="64" t="s">
        <v>3646</v>
      </c>
      <c r="X87" s="45">
        <f t="shared" si="1"/>
        <v>8</v>
      </c>
    </row>
    <row r="88" spans="1:24" x14ac:dyDescent="0.25">
      <c r="A88" s="41" t="s">
        <v>654</v>
      </c>
      <c r="B88" s="53"/>
      <c r="C88" s="54"/>
      <c r="D88" s="54"/>
      <c r="E88" s="54"/>
      <c r="F88" s="54"/>
      <c r="G88" s="55"/>
      <c r="H88" s="55"/>
      <c r="I88" s="55"/>
      <c r="J88" s="55"/>
      <c r="K88" s="55"/>
      <c r="L88" s="55"/>
      <c r="M88" s="55"/>
      <c r="N88" s="55"/>
      <c r="O88" s="55"/>
      <c r="P88" s="55"/>
      <c r="Q88" s="55"/>
      <c r="R88" s="55"/>
      <c r="S88" s="55"/>
      <c r="T88" s="55"/>
      <c r="U88" s="55"/>
      <c r="V88" s="55"/>
      <c r="W88" s="55"/>
      <c r="X88" s="45">
        <f t="shared" si="1"/>
        <v>0</v>
      </c>
    </row>
    <row r="89" spans="1:24" ht="30" x14ac:dyDescent="0.25">
      <c r="A89" s="56" t="s">
        <v>654</v>
      </c>
      <c r="B89" s="57" t="s">
        <v>655</v>
      </c>
      <c r="C89" s="47" t="s">
        <v>656</v>
      </c>
      <c r="D89" s="47" t="s">
        <v>657</v>
      </c>
      <c r="E89" s="47" t="s">
        <v>538</v>
      </c>
      <c r="F89" s="47" t="s">
        <v>538</v>
      </c>
      <c r="G89" s="61" t="s">
        <v>2528</v>
      </c>
      <c r="H89" s="61" t="s">
        <v>2528</v>
      </c>
      <c r="I89" s="61" t="s">
        <v>2528</v>
      </c>
      <c r="J89" s="61" t="s">
        <v>2528</v>
      </c>
      <c r="K89" s="61" t="s">
        <v>2528</v>
      </c>
      <c r="L89" s="61" t="s">
        <v>2528</v>
      </c>
      <c r="M89" s="61" t="s">
        <v>2528</v>
      </c>
      <c r="N89" s="61" t="s">
        <v>2528</v>
      </c>
      <c r="O89" s="61" t="s">
        <v>2528</v>
      </c>
      <c r="P89" s="61" t="s">
        <v>2528</v>
      </c>
      <c r="Q89" s="61" t="s">
        <v>2528</v>
      </c>
      <c r="R89" s="61" t="s">
        <v>2528</v>
      </c>
      <c r="S89" s="61" t="s">
        <v>2528</v>
      </c>
      <c r="T89" s="61" t="s">
        <v>2528</v>
      </c>
      <c r="U89" s="61" t="s">
        <v>2528</v>
      </c>
      <c r="V89" s="61" t="s">
        <v>2528</v>
      </c>
      <c r="W89" s="61" t="s">
        <v>2528</v>
      </c>
      <c r="X89" s="45">
        <f t="shared" si="1"/>
        <v>17</v>
      </c>
    </row>
    <row r="90" spans="1:24" x14ac:dyDescent="0.25">
      <c r="A90" s="41" t="s">
        <v>658</v>
      </c>
      <c r="B90" s="53"/>
      <c r="C90" s="54"/>
      <c r="D90" s="54"/>
      <c r="E90" s="54"/>
      <c r="F90" s="54"/>
      <c r="G90" s="55"/>
      <c r="H90" s="55"/>
      <c r="I90" s="55"/>
      <c r="J90" s="55"/>
      <c r="K90" s="55"/>
      <c r="L90" s="55"/>
      <c r="M90" s="55"/>
      <c r="N90" s="55"/>
      <c r="O90" s="55"/>
      <c r="P90" s="55"/>
      <c r="Q90" s="55"/>
      <c r="R90" s="55"/>
      <c r="S90" s="55"/>
      <c r="T90" s="55"/>
      <c r="U90" s="55"/>
      <c r="V90" s="55"/>
      <c r="W90" s="55"/>
      <c r="X90" s="45">
        <f t="shared" si="1"/>
        <v>0</v>
      </c>
    </row>
    <row r="91" spans="1:24" ht="30" x14ac:dyDescent="0.25">
      <c r="A91" s="56" t="s">
        <v>658</v>
      </c>
      <c r="B91" s="57" t="s">
        <v>659</v>
      </c>
      <c r="C91" s="47" t="s">
        <v>660</v>
      </c>
      <c r="D91" s="47" t="s">
        <v>661</v>
      </c>
      <c r="E91" s="47" t="s">
        <v>538</v>
      </c>
      <c r="F91" s="47" t="s">
        <v>538</v>
      </c>
      <c r="G91" s="61" t="s">
        <v>2528</v>
      </c>
      <c r="H91" s="58" t="s">
        <v>123</v>
      </c>
      <c r="I91" s="58" t="s">
        <v>123</v>
      </c>
      <c r="J91" s="58" t="s">
        <v>123</v>
      </c>
      <c r="K91" s="58" t="s">
        <v>123</v>
      </c>
      <c r="L91" s="58" t="s">
        <v>123</v>
      </c>
      <c r="M91" s="58" t="s">
        <v>123</v>
      </c>
      <c r="N91" s="58" t="s">
        <v>123</v>
      </c>
      <c r="O91" s="58" t="s">
        <v>123</v>
      </c>
      <c r="P91" s="58" t="s">
        <v>123</v>
      </c>
      <c r="Q91" s="58" t="s">
        <v>123</v>
      </c>
      <c r="R91" s="58" t="s">
        <v>123</v>
      </c>
      <c r="S91" s="61" t="s">
        <v>2528</v>
      </c>
      <c r="T91" s="61" t="s">
        <v>123</v>
      </c>
      <c r="U91" s="58" t="s">
        <v>123</v>
      </c>
      <c r="V91" s="61" t="s">
        <v>123</v>
      </c>
      <c r="W91" s="58" t="s">
        <v>123</v>
      </c>
      <c r="X91" s="45">
        <f t="shared" si="1"/>
        <v>2</v>
      </c>
    </row>
    <row r="92" spans="1:24" ht="45" x14ac:dyDescent="0.25">
      <c r="A92" s="56" t="s">
        <v>658</v>
      </c>
      <c r="B92" s="57" t="s">
        <v>662</v>
      </c>
      <c r="C92" s="47" t="s">
        <v>663</v>
      </c>
      <c r="D92" s="47" t="s">
        <v>664</v>
      </c>
      <c r="E92" s="47" t="s">
        <v>538</v>
      </c>
      <c r="F92" s="47" t="s">
        <v>538</v>
      </c>
      <c r="G92" s="58" t="s">
        <v>123</v>
      </c>
      <c r="H92" s="61" t="s">
        <v>2528</v>
      </c>
      <c r="I92" s="58" t="s">
        <v>123</v>
      </c>
      <c r="J92" s="61" t="s">
        <v>2528</v>
      </c>
      <c r="K92" s="61" t="s">
        <v>2528</v>
      </c>
      <c r="L92" s="61" t="s">
        <v>2528</v>
      </c>
      <c r="M92" s="58" t="s">
        <v>123</v>
      </c>
      <c r="N92" s="58" t="s">
        <v>123</v>
      </c>
      <c r="O92" s="61" t="s">
        <v>2528</v>
      </c>
      <c r="P92" s="58" t="s">
        <v>123</v>
      </c>
      <c r="Q92" s="58" t="s">
        <v>123</v>
      </c>
      <c r="R92" s="58" t="s">
        <v>123</v>
      </c>
      <c r="S92" s="58" t="s">
        <v>123</v>
      </c>
      <c r="T92" s="58" t="s">
        <v>123</v>
      </c>
      <c r="U92" s="58" t="s">
        <v>123</v>
      </c>
      <c r="V92" s="58" t="s">
        <v>123</v>
      </c>
      <c r="W92" s="58" t="s">
        <v>123</v>
      </c>
      <c r="X92" s="45">
        <f t="shared" si="1"/>
        <v>5</v>
      </c>
    </row>
    <row r="93" spans="1:24" ht="75" x14ac:dyDescent="0.25">
      <c r="A93" s="56" t="s">
        <v>658</v>
      </c>
      <c r="B93" s="57" t="s">
        <v>665</v>
      </c>
      <c r="C93" s="47" t="s">
        <v>666</v>
      </c>
      <c r="D93" s="47" t="s">
        <v>667</v>
      </c>
      <c r="E93" s="47" t="s">
        <v>668</v>
      </c>
      <c r="F93" s="47" t="s">
        <v>538</v>
      </c>
      <c r="G93" s="58" t="s">
        <v>123</v>
      </c>
      <c r="H93" s="58" t="s">
        <v>123</v>
      </c>
      <c r="I93" s="61" t="s">
        <v>2528</v>
      </c>
      <c r="J93" s="58" t="s">
        <v>123</v>
      </c>
      <c r="K93" s="58" t="s">
        <v>123</v>
      </c>
      <c r="L93" s="58" t="s">
        <v>123</v>
      </c>
      <c r="M93" s="58" t="s">
        <v>123</v>
      </c>
      <c r="N93" s="58" t="s">
        <v>123</v>
      </c>
      <c r="O93" s="58" t="s">
        <v>123</v>
      </c>
      <c r="P93" s="58" t="s">
        <v>123</v>
      </c>
      <c r="Q93" s="58" t="s">
        <v>123</v>
      </c>
      <c r="R93" s="58" t="s">
        <v>123</v>
      </c>
      <c r="S93" s="58" t="s">
        <v>123</v>
      </c>
      <c r="T93" s="58" t="s">
        <v>123</v>
      </c>
      <c r="U93" s="61" t="s">
        <v>2528</v>
      </c>
      <c r="V93" s="58" t="s">
        <v>123</v>
      </c>
      <c r="W93" s="61" t="s">
        <v>2528</v>
      </c>
      <c r="X93" s="45">
        <f t="shared" si="1"/>
        <v>3</v>
      </c>
    </row>
    <row r="94" spans="1:24" ht="75" x14ac:dyDescent="0.25">
      <c r="A94" s="56" t="s">
        <v>658</v>
      </c>
      <c r="B94" s="57" t="s">
        <v>669</v>
      </c>
      <c r="C94" s="47" t="s">
        <v>670</v>
      </c>
      <c r="D94" s="47" t="s">
        <v>671</v>
      </c>
      <c r="E94" s="47" t="s">
        <v>668</v>
      </c>
      <c r="F94" s="47" t="s">
        <v>538</v>
      </c>
      <c r="G94" s="58" t="s">
        <v>123</v>
      </c>
      <c r="H94" s="58" t="s">
        <v>123</v>
      </c>
      <c r="I94" s="58" t="s">
        <v>123</v>
      </c>
      <c r="J94" s="58" t="s">
        <v>123</v>
      </c>
      <c r="K94" s="58" t="s">
        <v>123</v>
      </c>
      <c r="L94" s="58" t="s">
        <v>123</v>
      </c>
      <c r="M94" s="61" t="s">
        <v>2528</v>
      </c>
      <c r="N94" s="61" t="s">
        <v>2528</v>
      </c>
      <c r="O94" s="58" t="s">
        <v>123</v>
      </c>
      <c r="P94" s="61" t="s">
        <v>2528</v>
      </c>
      <c r="Q94" s="61" t="s">
        <v>2528</v>
      </c>
      <c r="R94" s="61" t="s">
        <v>2528</v>
      </c>
      <c r="S94" s="58" t="s">
        <v>123</v>
      </c>
      <c r="T94" s="61" t="s">
        <v>2528</v>
      </c>
      <c r="U94" s="58" t="s">
        <v>123</v>
      </c>
      <c r="V94" s="61" t="s">
        <v>2528</v>
      </c>
      <c r="W94" s="58" t="s">
        <v>123</v>
      </c>
      <c r="X94" s="45">
        <f t="shared" si="1"/>
        <v>7</v>
      </c>
    </row>
    <row r="95" spans="1:24" ht="30" x14ac:dyDescent="0.25">
      <c r="A95" s="56" t="s">
        <v>658</v>
      </c>
      <c r="B95" s="57" t="s">
        <v>672</v>
      </c>
      <c r="C95" s="47" t="s">
        <v>673</v>
      </c>
      <c r="D95" s="47" t="s">
        <v>674</v>
      </c>
      <c r="E95" s="47" t="s">
        <v>538</v>
      </c>
      <c r="F95" s="47" t="s">
        <v>538</v>
      </c>
      <c r="G95" s="61" t="s">
        <v>2528</v>
      </c>
      <c r="H95" s="61" t="s">
        <v>2528</v>
      </c>
      <c r="I95" s="61" t="s">
        <v>2528</v>
      </c>
      <c r="J95" s="61" t="s">
        <v>2528</v>
      </c>
      <c r="K95" s="61" t="s">
        <v>2528</v>
      </c>
      <c r="L95" s="61" t="s">
        <v>2528</v>
      </c>
      <c r="M95" s="58" t="s">
        <v>123</v>
      </c>
      <c r="N95" s="58" t="s">
        <v>123</v>
      </c>
      <c r="O95" s="61" t="s">
        <v>2528</v>
      </c>
      <c r="P95" s="58" t="s">
        <v>123</v>
      </c>
      <c r="Q95" s="58" t="s">
        <v>123</v>
      </c>
      <c r="R95" s="58" t="s">
        <v>123</v>
      </c>
      <c r="S95" s="61" t="s">
        <v>2528</v>
      </c>
      <c r="T95" s="61" t="s">
        <v>123</v>
      </c>
      <c r="U95" s="61" t="s">
        <v>2528</v>
      </c>
      <c r="V95" s="61" t="s">
        <v>123</v>
      </c>
      <c r="W95" s="61" t="s">
        <v>2528</v>
      </c>
      <c r="X95" s="45">
        <f t="shared" si="1"/>
        <v>10</v>
      </c>
    </row>
    <row r="96" spans="1:24" ht="45" x14ac:dyDescent="0.25">
      <c r="A96" s="56" t="s">
        <v>658</v>
      </c>
      <c r="B96" s="57" t="s">
        <v>675</v>
      </c>
      <c r="C96" s="47" t="s">
        <v>676</v>
      </c>
      <c r="D96" s="47" t="s">
        <v>677</v>
      </c>
      <c r="E96" s="47" t="s">
        <v>678</v>
      </c>
      <c r="F96" s="47" t="s">
        <v>538</v>
      </c>
      <c r="G96" s="58" t="s">
        <v>123</v>
      </c>
      <c r="H96" s="58" t="s">
        <v>123</v>
      </c>
      <c r="I96" s="58" t="s">
        <v>123</v>
      </c>
      <c r="J96" s="58" t="s">
        <v>123</v>
      </c>
      <c r="K96" s="58" t="s">
        <v>123</v>
      </c>
      <c r="L96" s="58" t="s">
        <v>123</v>
      </c>
      <c r="M96" s="61" t="s">
        <v>2528</v>
      </c>
      <c r="N96" s="61" t="s">
        <v>2528</v>
      </c>
      <c r="O96" s="58" t="s">
        <v>123</v>
      </c>
      <c r="P96" s="61" t="s">
        <v>2528</v>
      </c>
      <c r="Q96" s="61" t="s">
        <v>2528</v>
      </c>
      <c r="R96" s="61" t="s">
        <v>2528</v>
      </c>
      <c r="S96" s="58" t="s">
        <v>123</v>
      </c>
      <c r="T96" s="61" t="s">
        <v>2528</v>
      </c>
      <c r="U96" s="58" t="s">
        <v>123</v>
      </c>
      <c r="V96" s="61" t="s">
        <v>2528</v>
      </c>
      <c r="W96" s="58" t="s">
        <v>123</v>
      </c>
      <c r="X96" s="45">
        <f t="shared" si="1"/>
        <v>7</v>
      </c>
    </row>
    <row r="97" spans="1:24" x14ac:dyDescent="0.25">
      <c r="A97" s="41" t="s">
        <v>679</v>
      </c>
      <c r="B97" s="53"/>
      <c r="C97" s="54"/>
      <c r="D97" s="54"/>
      <c r="E97" s="54"/>
      <c r="F97" s="54"/>
      <c r="G97" s="55"/>
      <c r="H97" s="55"/>
      <c r="I97" s="55"/>
      <c r="J97" s="55"/>
      <c r="K97" s="55"/>
      <c r="L97" s="55"/>
      <c r="M97" s="55"/>
      <c r="N97" s="55"/>
      <c r="O97" s="55"/>
      <c r="P97" s="55"/>
      <c r="Q97" s="55"/>
      <c r="R97" s="55"/>
      <c r="S97" s="55"/>
      <c r="T97" s="55"/>
      <c r="U97" s="55"/>
      <c r="V97" s="55"/>
      <c r="W97" s="55"/>
      <c r="X97" s="45">
        <f t="shared" si="1"/>
        <v>0</v>
      </c>
    </row>
    <row r="98" spans="1:24" x14ac:dyDescent="0.25">
      <c r="A98" s="56" t="s">
        <v>679</v>
      </c>
      <c r="B98" s="57" t="s">
        <v>680</v>
      </c>
      <c r="C98" s="47" t="s">
        <v>681</v>
      </c>
      <c r="D98" s="47" t="s">
        <v>682</v>
      </c>
      <c r="E98" s="47" t="s">
        <v>538</v>
      </c>
      <c r="F98" s="47" t="s">
        <v>683</v>
      </c>
      <c r="G98" s="61" t="s">
        <v>2528</v>
      </c>
      <c r="H98" s="61" t="s">
        <v>2528</v>
      </c>
      <c r="I98" s="61" t="s">
        <v>2528</v>
      </c>
      <c r="J98" s="61" t="s">
        <v>2528</v>
      </c>
      <c r="K98" s="61" t="s">
        <v>2528</v>
      </c>
      <c r="L98" s="61" t="s">
        <v>2528</v>
      </c>
      <c r="M98" s="61" t="s">
        <v>2528</v>
      </c>
      <c r="N98" s="61" t="s">
        <v>2528</v>
      </c>
      <c r="O98" s="61" t="s">
        <v>2528</v>
      </c>
      <c r="P98" s="61" t="s">
        <v>2528</v>
      </c>
      <c r="Q98" s="61" t="s">
        <v>2528</v>
      </c>
      <c r="R98" s="61" t="s">
        <v>2528</v>
      </c>
      <c r="S98" s="61" t="s">
        <v>2528</v>
      </c>
      <c r="T98" s="62" t="s">
        <v>3676</v>
      </c>
      <c r="U98" s="62" t="s">
        <v>3707</v>
      </c>
      <c r="V98" s="62" t="s">
        <v>3678</v>
      </c>
      <c r="W98" s="62" t="s">
        <v>3713</v>
      </c>
      <c r="X98" s="45">
        <f t="shared" si="1"/>
        <v>13</v>
      </c>
    </row>
    <row r="99" spans="1:24" ht="30" x14ac:dyDescent="0.25">
      <c r="A99" s="56" t="s">
        <v>679</v>
      </c>
      <c r="B99" s="57" t="s">
        <v>684</v>
      </c>
      <c r="C99" s="47" t="s">
        <v>685</v>
      </c>
      <c r="D99" s="47" t="s">
        <v>686</v>
      </c>
      <c r="E99" s="47" t="s">
        <v>538</v>
      </c>
      <c r="F99" s="47" t="s">
        <v>687</v>
      </c>
      <c r="G99" s="64" t="s">
        <v>3585</v>
      </c>
      <c r="H99" s="64" t="s">
        <v>3585</v>
      </c>
      <c r="I99" s="64" t="s">
        <v>3585</v>
      </c>
      <c r="J99" s="64" t="s">
        <v>3585</v>
      </c>
      <c r="K99" s="64" t="s">
        <v>3585</v>
      </c>
      <c r="L99" s="64" t="s">
        <v>3585</v>
      </c>
      <c r="M99" s="64" t="s">
        <v>3585</v>
      </c>
      <c r="N99" s="64" t="s">
        <v>3585</v>
      </c>
      <c r="O99" s="64" t="s">
        <v>3585</v>
      </c>
      <c r="P99" s="64" t="s">
        <v>3585</v>
      </c>
      <c r="Q99" s="64" t="s">
        <v>3585</v>
      </c>
      <c r="R99" s="64" t="s">
        <v>3585</v>
      </c>
      <c r="S99" s="64" t="s">
        <v>3585</v>
      </c>
      <c r="T99" s="83" t="s">
        <v>3673</v>
      </c>
      <c r="U99" s="83" t="s">
        <v>3687</v>
      </c>
      <c r="V99" s="83" t="s">
        <v>3673</v>
      </c>
      <c r="W99" s="83" t="s">
        <v>3687</v>
      </c>
      <c r="X99" s="45">
        <f t="shared" si="1"/>
        <v>4</v>
      </c>
    </row>
    <row r="100" spans="1:24" x14ac:dyDescent="0.25">
      <c r="A100" s="41" t="s">
        <v>688</v>
      </c>
      <c r="B100" s="53"/>
      <c r="C100" s="54"/>
      <c r="D100" s="54"/>
      <c r="E100" s="54"/>
      <c r="F100" s="54"/>
      <c r="G100" s="55"/>
      <c r="H100" s="55"/>
      <c r="I100" s="55"/>
      <c r="J100" s="55"/>
      <c r="K100" s="55"/>
      <c r="L100" s="55"/>
      <c r="M100" s="55"/>
      <c r="N100" s="55"/>
      <c r="O100" s="55"/>
      <c r="P100" s="55"/>
      <c r="Q100" s="55"/>
      <c r="R100" s="55"/>
      <c r="S100" s="55"/>
      <c r="T100" s="55"/>
      <c r="U100" s="55"/>
      <c r="V100" s="55"/>
      <c r="W100" s="55"/>
      <c r="X100" s="45">
        <f t="shared" si="1"/>
        <v>0</v>
      </c>
    </row>
    <row r="101" spans="1:24" x14ac:dyDescent="0.25">
      <c r="A101" s="56" t="s">
        <v>688</v>
      </c>
      <c r="B101" s="57" t="s">
        <v>689</v>
      </c>
      <c r="C101" s="47" t="s">
        <v>690</v>
      </c>
      <c r="D101" s="47" t="s">
        <v>691</v>
      </c>
      <c r="E101" s="47" t="s">
        <v>538</v>
      </c>
      <c r="F101" s="47" t="s">
        <v>538</v>
      </c>
      <c r="G101" s="65" t="s">
        <v>3645</v>
      </c>
      <c r="H101" s="65" t="s">
        <v>3645</v>
      </c>
      <c r="I101" s="62" t="s">
        <v>3644</v>
      </c>
      <c r="J101" s="65" t="s">
        <v>3645</v>
      </c>
      <c r="K101" s="62" t="s">
        <v>3644</v>
      </c>
      <c r="L101" s="65" t="s">
        <v>3645</v>
      </c>
      <c r="M101" s="65" t="s">
        <v>3645</v>
      </c>
      <c r="N101" s="62" t="s">
        <v>3644</v>
      </c>
      <c r="O101" s="62" t="s">
        <v>3644</v>
      </c>
      <c r="P101" s="62" t="s">
        <v>3644</v>
      </c>
      <c r="Q101" s="62" t="s">
        <v>3644</v>
      </c>
      <c r="R101" s="65" t="s">
        <v>3645</v>
      </c>
      <c r="S101" s="65" t="s">
        <v>3645</v>
      </c>
      <c r="T101" s="64" t="s">
        <v>3644</v>
      </c>
      <c r="U101" s="62" t="s">
        <v>3644</v>
      </c>
      <c r="V101" s="64" t="s">
        <v>3644</v>
      </c>
      <c r="W101" s="62" t="s">
        <v>3644</v>
      </c>
      <c r="X101" s="45">
        <f t="shared" si="1"/>
        <v>7</v>
      </c>
    </row>
    <row r="102" spans="1:24" x14ac:dyDescent="0.25">
      <c r="A102" s="56" t="s">
        <v>688</v>
      </c>
      <c r="B102" s="57" t="s">
        <v>692</v>
      </c>
      <c r="C102" s="47" t="s">
        <v>693</v>
      </c>
      <c r="D102" s="47" t="s">
        <v>694</v>
      </c>
      <c r="E102" s="47" t="s">
        <v>538</v>
      </c>
      <c r="F102" s="47" t="s">
        <v>538</v>
      </c>
      <c r="G102" s="62" t="s">
        <v>3644</v>
      </c>
      <c r="H102" s="62" t="s">
        <v>3644</v>
      </c>
      <c r="I102" s="65" t="s">
        <v>3645</v>
      </c>
      <c r="J102" s="62" t="s">
        <v>3644</v>
      </c>
      <c r="K102" s="65" t="s">
        <v>3645</v>
      </c>
      <c r="L102" s="62" t="s">
        <v>3644</v>
      </c>
      <c r="M102" s="62" t="s">
        <v>3644</v>
      </c>
      <c r="N102" s="65" t="s">
        <v>3645</v>
      </c>
      <c r="O102" s="62" t="s">
        <v>3644</v>
      </c>
      <c r="P102" s="62" t="s">
        <v>3644</v>
      </c>
      <c r="Q102" s="62" t="s">
        <v>3644</v>
      </c>
      <c r="R102" s="62" t="s">
        <v>3644</v>
      </c>
      <c r="S102" s="62" t="s">
        <v>3644</v>
      </c>
      <c r="T102" s="64" t="s">
        <v>3644</v>
      </c>
      <c r="U102" s="64" t="s">
        <v>3644</v>
      </c>
      <c r="V102" s="64" t="s">
        <v>3644</v>
      </c>
      <c r="W102" s="64" t="s">
        <v>3644</v>
      </c>
      <c r="X102" s="45">
        <f t="shared" si="1"/>
        <v>3</v>
      </c>
    </row>
    <row r="103" spans="1:24" ht="30" x14ac:dyDescent="0.25">
      <c r="A103" s="56" t="s">
        <v>688</v>
      </c>
      <c r="B103" s="57" t="s">
        <v>695</v>
      </c>
      <c r="C103" s="47" t="s">
        <v>696</v>
      </c>
      <c r="D103" s="47" t="s">
        <v>697</v>
      </c>
      <c r="E103" s="47" t="s">
        <v>538</v>
      </c>
      <c r="F103" s="47" t="s">
        <v>698</v>
      </c>
      <c r="G103" s="62" t="s">
        <v>3644</v>
      </c>
      <c r="H103" s="62" t="s">
        <v>3644</v>
      </c>
      <c r="I103" s="62" t="s">
        <v>3644</v>
      </c>
      <c r="J103" s="62" t="s">
        <v>3646</v>
      </c>
      <c r="K103" s="62" t="s">
        <v>3646</v>
      </c>
      <c r="L103" s="62" t="s">
        <v>3646</v>
      </c>
      <c r="M103" s="62" t="s">
        <v>3646</v>
      </c>
      <c r="N103" s="62" t="s">
        <v>3646</v>
      </c>
      <c r="O103" s="62" t="s">
        <v>3644</v>
      </c>
      <c r="P103" s="61" t="s">
        <v>2528</v>
      </c>
      <c r="Q103" s="61" t="s">
        <v>2528</v>
      </c>
      <c r="R103" s="62" t="s">
        <v>3646</v>
      </c>
      <c r="S103" s="62" t="s">
        <v>3644</v>
      </c>
      <c r="T103" s="61" t="s">
        <v>2528</v>
      </c>
      <c r="U103" s="62" t="s">
        <v>3644</v>
      </c>
      <c r="V103" s="61" t="s">
        <v>2528</v>
      </c>
      <c r="W103" s="62" t="s">
        <v>3644</v>
      </c>
      <c r="X103" s="45">
        <f t="shared" si="1"/>
        <v>4</v>
      </c>
    </row>
    <row r="104" spans="1:24" x14ac:dyDescent="0.25">
      <c r="A104" s="56" t="s">
        <v>688</v>
      </c>
      <c r="B104" s="57" t="s">
        <v>699</v>
      </c>
      <c r="C104" s="47" t="s">
        <v>700</v>
      </c>
      <c r="D104" s="47" t="s">
        <v>701</v>
      </c>
      <c r="E104" s="47" t="s">
        <v>538</v>
      </c>
      <c r="F104" s="47" t="s">
        <v>702</v>
      </c>
      <c r="G104" s="62" t="s">
        <v>3646</v>
      </c>
      <c r="H104" s="62" t="s">
        <v>3646</v>
      </c>
      <c r="I104" s="62" t="s">
        <v>3646</v>
      </c>
      <c r="J104" s="62" t="s">
        <v>3644</v>
      </c>
      <c r="K104" s="62" t="s">
        <v>3644</v>
      </c>
      <c r="L104" s="62" t="s">
        <v>3644</v>
      </c>
      <c r="M104" s="62" t="s">
        <v>3644</v>
      </c>
      <c r="N104" s="62" t="s">
        <v>3644</v>
      </c>
      <c r="O104" s="61" t="s">
        <v>2528</v>
      </c>
      <c r="P104" s="62" t="s">
        <v>3644</v>
      </c>
      <c r="Q104" s="62" t="s">
        <v>3644</v>
      </c>
      <c r="R104" s="62" t="s">
        <v>3644</v>
      </c>
      <c r="S104" s="62" t="s">
        <v>3646</v>
      </c>
      <c r="T104" s="64" t="s">
        <v>3644</v>
      </c>
      <c r="U104" s="83" t="s">
        <v>3645</v>
      </c>
      <c r="V104" s="64" t="s">
        <v>3644</v>
      </c>
      <c r="W104" s="83" t="s">
        <v>3645</v>
      </c>
      <c r="X104" s="45">
        <f t="shared" si="1"/>
        <v>3</v>
      </c>
    </row>
    <row r="105" spans="1:24" x14ac:dyDescent="0.25">
      <c r="A105" s="41" t="s">
        <v>703</v>
      </c>
      <c r="B105" s="53"/>
      <c r="C105" s="54"/>
      <c r="D105" s="54"/>
      <c r="E105" s="54"/>
      <c r="F105" s="54"/>
      <c r="G105" s="55"/>
      <c r="H105" s="55"/>
      <c r="I105" s="55"/>
      <c r="J105" s="55"/>
      <c r="K105" s="55"/>
      <c r="L105" s="55"/>
      <c r="M105" s="55"/>
      <c r="N105" s="55"/>
      <c r="O105" s="55"/>
      <c r="P105" s="55"/>
      <c r="Q105" s="55"/>
      <c r="R105" s="55"/>
      <c r="S105" s="55"/>
      <c r="T105" s="55"/>
      <c r="U105" s="55"/>
      <c r="V105" s="55"/>
      <c r="W105" s="55"/>
      <c r="X105" s="45">
        <f t="shared" si="1"/>
        <v>0</v>
      </c>
    </row>
    <row r="106" spans="1:24" ht="30" x14ac:dyDescent="0.25">
      <c r="A106" s="56" t="s">
        <v>703</v>
      </c>
      <c r="B106" s="57" t="s">
        <v>704</v>
      </c>
      <c r="C106" s="47" t="s">
        <v>705</v>
      </c>
      <c r="D106" s="47" t="s">
        <v>706</v>
      </c>
      <c r="E106" s="47" t="s">
        <v>538</v>
      </c>
      <c r="F106" s="47" t="s">
        <v>538</v>
      </c>
      <c r="G106" s="64" t="s">
        <v>3585</v>
      </c>
      <c r="H106" s="64" t="s">
        <v>3585</v>
      </c>
      <c r="I106" s="64" t="s">
        <v>3585</v>
      </c>
      <c r="J106" s="64" t="s">
        <v>3585</v>
      </c>
      <c r="K106" s="65" t="s">
        <v>3647</v>
      </c>
      <c r="L106" s="65" t="s">
        <v>3647</v>
      </c>
      <c r="M106" s="61" t="s">
        <v>2528</v>
      </c>
      <c r="N106" s="61" t="s">
        <v>2528</v>
      </c>
      <c r="O106" s="65" t="s">
        <v>3647</v>
      </c>
      <c r="P106" s="61" t="s">
        <v>2528</v>
      </c>
      <c r="Q106" s="61" t="s">
        <v>2528</v>
      </c>
      <c r="R106" s="61" t="s">
        <v>2528</v>
      </c>
      <c r="S106" s="64" t="s">
        <v>3585</v>
      </c>
      <c r="T106" s="84" t="s">
        <v>2528</v>
      </c>
      <c r="U106" s="83" t="s">
        <v>3703</v>
      </c>
      <c r="V106" s="84" t="s">
        <v>2528</v>
      </c>
      <c r="W106" s="83" t="s">
        <v>3703</v>
      </c>
      <c r="X106" s="45">
        <f t="shared" si="1"/>
        <v>12</v>
      </c>
    </row>
    <row r="107" spans="1:24" x14ac:dyDescent="0.25">
      <c r="A107" s="56" t="s">
        <v>703</v>
      </c>
      <c r="B107" s="57" t="s">
        <v>707</v>
      </c>
      <c r="C107" s="47" t="s">
        <v>708</v>
      </c>
      <c r="D107" s="47" t="s">
        <v>709</v>
      </c>
      <c r="E107" s="47" t="s">
        <v>538</v>
      </c>
      <c r="F107" s="47" t="s">
        <v>538</v>
      </c>
      <c r="G107" s="58" t="s">
        <v>123</v>
      </c>
      <c r="H107" s="62" t="s">
        <v>3644</v>
      </c>
      <c r="I107" s="62" t="s">
        <v>3644</v>
      </c>
      <c r="J107" s="65" t="s">
        <v>3645</v>
      </c>
      <c r="K107" s="65" t="s">
        <v>3645</v>
      </c>
      <c r="L107" s="65" t="s">
        <v>3645</v>
      </c>
      <c r="M107" s="65" t="s">
        <v>3645</v>
      </c>
      <c r="N107" s="65" t="s">
        <v>3645</v>
      </c>
      <c r="O107" s="62" t="s">
        <v>3644</v>
      </c>
      <c r="P107" s="65" t="s">
        <v>3645</v>
      </c>
      <c r="Q107" s="65" t="s">
        <v>3645</v>
      </c>
      <c r="R107" s="65" t="s">
        <v>3645</v>
      </c>
      <c r="S107" s="58" t="s">
        <v>123</v>
      </c>
      <c r="T107" s="83" t="s">
        <v>3645</v>
      </c>
      <c r="U107" s="62" t="s">
        <v>3644</v>
      </c>
      <c r="V107" s="83" t="s">
        <v>3645</v>
      </c>
      <c r="W107" s="62" t="s">
        <v>3644</v>
      </c>
      <c r="X107" s="45">
        <f t="shared" si="1"/>
        <v>10</v>
      </c>
    </row>
    <row r="108" spans="1:24" ht="30" x14ac:dyDescent="0.25">
      <c r="A108" s="56" t="s">
        <v>703</v>
      </c>
      <c r="B108" s="57" t="s">
        <v>710</v>
      </c>
      <c r="C108" s="47" t="s">
        <v>711</v>
      </c>
      <c r="D108" s="47" t="s">
        <v>712</v>
      </c>
      <c r="E108" s="47" t="s">
        <v>538</v>
      </c>
      <c r="F108" s="47" t="s">
        <v>538</v>
      </c>
      <c r="G108" s="58" t="s">
        <v>123</v>
      </c>
      <c r="H108" s="58" t="s">
        <v>123</v>
      </c>
      <c r="I108" s="58" t="s">
        <v>123</v>
      </c>
      <c r="J108" s="61" t="s">
        <v>2528</v>
      </c>
      <c r="K108" s="61" t="s">
        <v>2528</v>
      </c>
      <c r="L108" s="61" t="s">
        <v>2528</v>
      </c>
      <c r="M108" s="61" t="s">
        <v>2528</v>
      </c>
      <c r="N108" s="61" t="s">
        <v>2528</v>
      </c>
      <c r="O108" s="58" t="s">
        <v>123</v>
      </c>
      <c r="P108" s="61" t="s">
        <v>2528</v>
      </c>
      <c r="Q108" s="61" t="s">
        <v>2528</v>
      </c>
      <c r="R108" s="61" t="s">
        <v>2528</v>
      </c>
      <c r="S108" s="58" t="s">
        <v>123</v>
      </c>
      <c r="T108" s="61" t="s">
        <v>2528</v>
      </c>
      <c r="U108" s="58" t="s">
        <v>123</v>
      </c>
      <c r="V108" s="61" t="s">
        <v>2528</v>
      </c>
      <c r="W108" s="58" t="s">
        <v>123</v>
      </c>
      <c r="X108" s="45">
        <f t="shared" ref="X108:X139" si="2">COUNTIF(G108:W108,"*-Y")+COUNTIF(G108:W108,"S")+COUNTIF(G108:W108,"M")</f>
        <v>10</v>
      </c>
    </row>
    <row r="109" spans="1:24" x14ac:dyDescent="0.25">
      <c r="A109" s="56" t="s">
        <v>703</v>
      </c>
      <c r="B109" s="57" t="s">
        <v>713</v>
      </c>
      <c r="C109" s="47" t="s">
        <v>714</v>
      </c>
      <c r="D109" s="47" t="s">
        <v>715</v>
      </c>
      <c r="E109" s="47" t="s">
        <v>538</v>
      </c>
      <c r="F109" s="47" t="s">
        <v>538</v>
      </c>
      <c r="G109" s="61" t="s">
        <v>2528</v>
      </c>
      <c r="H109" s="61" t="s">
        <v>2528</v>
      </c>
      <c r="I109" s="61" t="s">
        <v>2528</v>
      </c>
      <c r="J109" s="58" t="s">
        <v>123</v>
      </c>
      <c r="K109" s="58" t="s">
        <v>123</v>
      </c>
      <c r="L109" s="58" t="s">
        <v>123</v>
      </c>
      <c r="M109" s="58" t="s">
        <v>123</v>
      </c>
      <c r="N109" s="58" t="s">
        <v>123</v>
      </c>
      <c r="O109" s="61" t="s">
        <v>2528</v>
      </c>
      <c r="P109" s="58" t="s">
        <v>123</v>
      </c>
      <c r="Q109" s="58" t="s">
        <v>123</v>
      </c>
      <c r="R109" s="58" t="s">
        <v>123</v>
      </c>
      <c r="S109" s="61" t="s">
        <v>2528</v>
      </c>
      <c r="T109" s="61" t="s">
        <v>123</v>
      </c>
      <c r="U109" s="61" t="s">
        <v>2528</v>
      </c>
      <c r="V109" s="61" t="s">
        <v>123</v>
      </c>
      <c r="W109" s="61" t="s">
        <v>2528</v>
      </c>
      <c r="X109" s="45">
        <f t="shared" si="2"/>
        <v>7</v>
      </c>
    </row>
    <row r="110" spans="1:24" x14ac:dyDescent="0.25">
      <c r="A110" s="41" t="s">
        <v>716</v>
      </c>
      <c r="B110" s="53"/>
      <c r="C110" s="54"/>
      <c r="D110" s="54"/>
      <c r="E110" s="54"/>
      <c r="F110" s="54"/>
      <c r="G110" s="55"/>
      <c r="H110" s="55"/>
      <c r="I110" s="55"/>
      <c r="J110" s="55"/>
      <c r="K110" s="55"/>
      <c r="L110" s="55"/>
      <c r="M110" s="55"/>
      <c r="N110" s="55"/>
      <c r="O110" s="55"/>
      <c r="P110" s="55"/>
      <c r="Q110" s="55"/>
      <c r="R110" s="55"/>
      <c r="S110" s="55"/>
      <c r="T110" s="55"/>
      <c r="U110" s="55"/>
      <c r="V110" s="55"/>
      <c r="W110" s="55"/>
      <c r="X110" s="45">
        <f t="shared" si="2"/>
        <v>0</v>
      </c>
    </row>
    <row r="111" spans="1:24" ht="30" x14ac:dyDescent="0.25">
      <c r="A111" s="56" t="s">
        <v>716</v>
      </c>
      <c r="B111" s="57" t="s">
        <v>717</v>
      </c>
      <c r="C111" s="47" t="s">
        <v>718</v>
      </c>
      <c r="D111" s="47" t="s">
        <v>719</v>
      </c>
      <c r="E111" s="47" t="s">
        <v>538</v>
      </c>
      <c r="F111" s="47" t="s">
        <v>538</v>
      </c>
      <c r="G111" s="61" t="s">
        <v>2528</v>
      </c>
      <c r="H111" s="61" t="s">
        <v>2528</v>
      </c>
      <c r="I111" s="61" t="s">
        <v>2528</v>
      </c>
      <c r="J111" s="58" t="s">
        <v>123</v>
      </c>
      <c r="K111" s="58" t="s">
        <v>123</v>
      </c>
      <c r="L111" s="58" t="s">
        <v>123</v>
      </c>
      <c r="M111" s="58" t="s">
        <v>123</v>
      </c>
      <c r="N111" s="58" t="s">
        <v>123</v>
      </c>
      <c r="O111" s="61" t="s">
        <v>2528</v>
      </c>
      <c r="P111" s="58" t="s">
        <v>123</v>
      </c>
      <c r="Q111" s="58" t="s">
        <v>123</v>
      </c>
      <c r="R111" s="58" t="s">
        <v>123</v>
      </c>
      <c r="S111" s="61" t="s">
        <v>2528</v>
      </c>
      <c r="T111" s="61" t="s">
        <v>123</v>
      </c>
      <c r="U111" s="62" t="s">
        <v>3709</v>
      </c>
      <c r="V111" s="61" t="s">
        <v>123</v>
      </c>
      <c r="W111" s="62" t="s">
        <v>3708</v>
      </c>
      <c r="X111" s="45">
        <f t="shared" si="2"/>
        <v>5</v>
      </c>
    </row>
    <row r="112" spans="1:24" ht="30" x14ac:dyDescent="0.25">
      <c r="A112" s="56" t="s">
        <v>716</v>
      </c>
      <c r="B112" s="57" t="s">
        <v>720</v>
      </c>
      <c r="C112" s="47" t="s">
        <v>721</v>
      </c>
      <c r="D112" s="47" t="s">
        <v>722</v>
      </c>
      <c r="E112" s="47" t="s">
        <v>538</v>
      </c>
      <c r="F112" s="47" t="s">
        <v>538</v>
      </c>
      <c r="G112" s="64" t="s">
        <v>3585</v>
      </c>
      <c r="H112" s="64" t="s">
        <v>3585</v>
      </c>
      <c r="I112" s="64" t="s">
        <v>3585</v>
      </c>
      <c r="J112" s="64" t="s">
        <v>3585</v>
      </c>
      <c r="K112" s="64" t="s">
        <v>3585</v>
      </c>
      <c r="L112" s="64" t="s">
        <v>3585</v>
      </c>
      <c r="M112" s="64" t="s">
        <v>3585</v>
      </c>
      <c r="N112" s="64" t="s">
        <v>3585</v>
      </c>
      <c r="O112" s="64" t="s">
        <v>3585</v>
      </c>
      <c r="P112" s="64" t="s">
        <v>3585</v>
      </c>
      <c r="Q112" s="64" t="s">
        <v>3585</v>
      </c>
      <c r="R112" s="64" t="s">
        <v>3585</v>
      </c>
      <c r="S112" s="64" t="s">
        <v>3585</v>
      </c>
      <c r="T112" s="83" t="s">
        <v>3672</v>
      </c>
      <c r="U112" s="83" t="s">
        <v>3687</v>
      </c>
      <c r="V112" s="83" t="s">
        <v>3673</v>
      </c>
      <c r="W112" s="83" t="s">
        <v>3687</v>
      </c>
      <c r="X112" s="45">
        <f t="shared" si="2"/>
        <v>4</v>
      </c>
    </row>
    <row r="113" spans="1:24" ht="30" x14ac:dyDescent="0.25">
      <c r="A113" s="56" t="s">
        <v>716</v>
      </c>
      <c r="B113" s="57" t="s">
        <v>723</v>
      </c>
      <c r="C113" s="47" t="s">
        <v>724</v>
      </c>
      <c r="D113" s="47" t="s">
        <v>725</v>
      </c>
      <c r="E113" s="47" t="s">
        <v>538</v>
      </c>
      <c r="F113" s="47" t="s">
        <v>538</v>
      </c>
      <c r="G113" s="58" t="s">
        <v>123</v>
      </c>
      <c r="H113" s="58" t="s">
        <v>123</v>
      </c>
      <c r="I113" s="58" t="s">
        <v>123</v>
      </c>
      <c r="J113" s="61" t="s">
        <v>2528</v>
      </c>
      <c r="K113" s="61" t="s">
        <v>2528</v>
      </c>
      <c r="L113" s="61" t="s">
        <v>2528</v>
      </c>
      <c r="M113" s="61" t="s">
        <v>2528</v>
      </c>
      <c r="N113" s="61" t="s">
        <v>2528</v>
      </c>
      <c r="O113" s="58" t="s">
        <v>123</v>
      </c>
      <c r="P113" s="61" t="s">
        <v>2528</v>
      </c>
      <c r="Q113" s="61" t="s">
        <v>2528</v>
      </c>
      <c r="R113" s="61" t="s">
        <v>2528</v>
      </c>
      <c r="S113" s="58" t="s">
        <v>123</v>
      </c>
      <c r="T113" s="62" t="s">
        <v>3677</v>
      </c>
      <c r="U113" s="58" t="s">
        <v>123</v>
      </c>
      <c r="V113" s="62" t="s">
        <v>3675</v>
      </c>
      <c r="W113" s="58" t="s">
        <v>123</v>
      </c>
      <c r="X113" s="45">
        <f t="shared" si="2"/>
        <v>8</v>
      </c>
    </row>
    <row r="114" spans="1:24" x14ac:dyDescent="0.25">
      <c r="A114" s="41" t="s">
        <v>726</v>
      </c>
      <c r="B114" s="53"/>
      <c r="C114" s="54"/>
      <c r="D114" s="54"/>
      <c r="E114" s="54"/>
      <c r="F114" s="54"/>
      <c r="G114" s="55"/>
      <c r="H114" s="55"/>
      <c r="I114" s="55"/>
      <c r="J114" s="55"/>
      <c r="K114" s="55"/>
      <c r="L114" s="55"/>
      <c r="M114" s="55"/>
      <c r="N114" s="55"/>
      <c r="O114" s="55"/>
      <c r="P114" s="55"/>
      <c r="Q114" s="55"/>
      <c r="R114" s="55"/>
      <c r="S114" s="55"/>
      <c r="T114" s="55"/>
      <c r="U114" s="55"/>
      <c r="V114" s="55"/>
      <c r="W114" s="55"/>
      <c r="X114" s="45">
        <f t="shared" si="2"/>
        <v>0</v>
      </c>
    </row>
    <row r="115" spans="1:24" ht="45" x14ac:dyDescent="0.25">
      <c r="A115" s="56" t="s">
        <v>726</v>
      </c>
      <c r="B115" s="57" t="s">
        <v>727</v>
      </c>
      <c r="C115" s="47" t="s">
        <v>728</v>
      </c>
      <c r="D115" s="47" t="s">
        <v>729</v>
      </c>
      <c r="E115" s="47" t="s">
        <v>538</v>
      </c>
      <c r="F115" s="47" t="s">
        <v>538</v>
      </c>
      <c r="G115" s="58" t="s">
        <v>123</v>
      </c>
      <c r="H115" s="58" t="s">
        <v>123</v>
      </c>
      <c r="I115" s="62" t="s">
        <v>3646</v>
      </c>
      <c r="J115" s="58" t="s">
        <v>123</v>
      </c>
      <c r="K115" s="58" t="s">
        <v>123</v>
      </c>
      <c r="L115" s="58" t="s">
        <v>123</v>
      </c>
      <c r="M115" s="58" t="s">
        <v>123</v>
      </c>
      <c r="N115" s="58" t="s">
        <v>123</v>
      </c>
      <c r="O115" s="58" t="s">
        <v>123</v>
      </c>
      <c r="P115" s="58" t="s">
        <v>123</v>
      </c>
      <c r="Q115" s="58" t="s">
        <v>123</v>
      </c>
      <c r="R115" s="58" t="s">
        <v>123</v>
      </c>
      <c r="S115" s="58" t="s">
        <v>123</v>
      </c>
      <c r="T115" s="58" t="s">
        <v>123</v>
      </c>
      <c r="U115" s="62" t="s">
        <v>3646</v>
      </c>
      <c r="V115" s="58" t="s">
        <v>123</v>
      </c>
      <c r="W115" s="62" t="s">
        <v>3646</v>
      </c>
      <c r="X115" s="45">
        <f t="shared" si="2"/>
        <v>0</v>
      </c>
    </row>
    <row r="116" spans="1:24" ht="45" x14ac:dyDescent="0.25">
      <c r="A116" s="56" t="s">
        <v>726</v>
      </c>
      <c r="B116" s="57" t="s">
        <v>730</v>
      </c>
      <c r="C116" s="47" t="s">
        <v>731</v>
      </c>
      <c r="D116" s="47" t="s">
        <v>732</v>
      </c>
      <c r="E116" s="47" t="s">
        <v>538</v>
      </c>
      <c r="F116" s="47" t="s">
        <v>538</v>
      </c>
      <c r="G116" s="58" t="s">
        <v>123</v>
      </c>
      <c r="H116" s="58" t="s">
        <v>123</v>
      </c>
      <c r="I116" s="65" t="s">
        <v>3645</v>
      </c>
      <c r="J116" s="58" t="s">
        <v>123</v>
      </c>
      <c r="K116" s="58" t="s">
        <v>123</v>
      </c>
      <c r="L116" s="58" t="s">
        <v>123</v>
      </c>
      <c r="M116" s="58" t="s">
        <v>123</v>
      </c>
      <c r="N116" s="58" t="s">
        <v>123</v>
      </c>
      <c r="O116" s="58" t="s">
        <v>123</v>
      </c>
      <c r="P116" s="58" t="s">
        <v>123</v>
      </c>
      <c r="Q116" s="58" t="s">
        <v>123</v>
      </c>
      <c r="R116" s="58" t="s">
        <v>123</v>
      </c>
      <c r="S116" s="58" t="s">
        <v>123</v>
      </c>
      <c r="T116" s="58" t="s">
        <v>123</v>
      </c>
      <c r="U116" s="65" t="s">
        <v>3645</v>
      </c>
      <c r="V116" s="58" t="s">
        <v>123</v>
      </c>
      <c r="W116" s="65" t="s">
        <v>3645</v>
      </c>
      <c r="X116" s="45">
        <f t="shared" si="2"/>
        <v>3</v>
      </c>
    </row>
    <row r="117" spans="1:24" ht="45" x14ac:dyDescent="0.25">
      <c r="A117" s="56" t="s">
        <v>726</v>
      </c>
      <c r="B117" s="57" t="s">
        <v>733</v>
      </c>
      <c r="C117" s="47" t="s">
        <v>734</v>
      </c>
      <c r="D117" s="47" t="s">
        <v>735</v>
      </c>
      <c r="E117" s="47" t="s">
        <v>538</v>
      </c>
      <c r="F117" s="47" t="s">
        <v>538</v>
      </c>
      <c r="G117" s="58" t="s">
        <v>123</v>
      </c>
      <c r="H117" s="58" t="s">
        <v>123</v>
      </c>
      <c r="I117" s="58" t="s">
        <v>123</v>
      </c>
      <c r="J117" s="58" t="s">
        <v>123</v>
      </c>
      <c r="K117" s="58" t="s">
        <v>123</v>
      </c>
      <c r="L117" s="58" t="s">
        <v>123</v>
      </c>
      <c r="M117" s="62" t="s">
        <v>3646</v>
      </c>
      <c r="N117" s="62" t="s">
        <v>3646</v>
      </c>
      <c r="O117" s="58" t="s">
        <v>123</v>
      </c>
      <c r="P117" s="61" t="s">
        <v>2528</v>
      </c>
      <c r="Q117" s="61" t="s">
        <v>2528</v>
      </c>
      <c r="R117" s="62" t="s">
        <v>3646</v>
      </c>
      <c r="S117" s="58" t="s">
        <v>123</v>
      </c>
      <c r="T117" s="64" t="s">
        <v>3646</v>
      </c>
      <c r="U117" s="58" t="s">
        <v>123</v>
      </c>
      <c r="V117" s="64" t="s">
        <v>3646</v>
      </c>
      <c r="W117" s="58" t="s">
        <v>123</v>
      </c>
      <c r="X117" s="45">
        <f t="shared" si="2"/>
        <v>2</v>
      </c>
    </row>
    <row r="118" spans="1:24" ht="45" x14ac:dyDescent="0.25">
      <c r="A118" s="56" t="s">
        <v>726</v>
      </c>
      <c r="B118" s="57" t="s">
        <v>736</v>
      </c>
      <c r="C118" s="47" t="s">
        <v>737</v>
      </c>
      <c r="D118" s="47" t="s">
        <v>738</v>
      </c>
      <c r="E118" s="47" t="s">
        <v>538</v>
      </c>
      <c r="F118" s="47" t="s">
        <v>538</v>
      </c>
      <c r="G118" s="58" t="s">
        <v>123</v>
      </c>
      <c r="H118" s="58" t="s">
        <v>123</v>
      </c>
      <c r="I118" s="58" t="s">
        <v>123</v>
      </c>
      <c r="J118" s="58" t="s">
        <v>123</v>
      </c>
      <c r="K118" s="58" t="s">
        <v>123</v>
      </c>
      <c r="L118" s="58" t="s">
        <v>123</v>
      </c>
      <c r="M118" s="62" t="s">
        <v>3644</v>
      </c>
      <c r="N118" s="65" t="s">
        <v>3645</v>
      </c>
      <c r="O118" s="58" t="s">
        <v>123</v>
      </c>
      <c r="P118" s="62" t="s">
        <v>3644</v>
      </c>
      <c r="Q118" s="62" t="s">
        <v>3644</v>
      </c>
      <c r="R118" s="62" t="s">
        <v>3644</v>
      </c>
      <c r="S118" s="58" t="s">
        <v>123</v>
      </c>
      <c r="T118" s="83" t="s">
        <v>3645</v>
      </c>
      <c r="U118" s="58" t="s">
        <v>123</v>
      </c>
      <c r="V118" s="83" t="s">
        <v>3645</v>
      </c>
      <c r="W118" s="58" t="s">
        <v>123</v>
      </c>
      <c r="X118" s="45">
        <f t="shared" si="2"/>
        <v>3</v>
      </c>
    </row>
    <row r="119" spans="1:24" ht="45" x14ac:dyDescent="0.25">
      <c r="A119" s="56" t="s">
        <v>726</v>
      </c>
      <c r="B119" s="57" t="s">
        <v>739</v>
      </c>
      <c r="C119" s="47" t="s">
        <v>740</v>
      </c>
      <c r="D119" s="47" t="s">
        <v>741</v>
      </c>
      <c r="E119" s="47" t="s">
        <v>538</v>
      </c>
      <c r="F119" s="47" t="s">
        <v>538</v>
      </c>
      <c r="G119" s="58" t="s">
        <v>123</v>
      </c>
      <c r="H119" s="58" t="s">
        <v>123</v>
      </c>
      <c r="I119" s="58" t="s">
        <v>123</v>
      </c>
      <c r="J119" s="58" t="s">
        <v>123</v>
      </c>
      <c r="K119" s="58" t="s">
        <v>123</v>
      </c>
      <c r="L119" s="58" t="s">
        <v>123</v>
      </c>
      <c r="M119" s="65" t="s">
        <v>3645</v>
      </c>
      <c r="N119" s="62" t="s">
        <v>3644</v>
      </c>
      <c r="O119" s="58" t="s">
        <v>123</v>
      </c>
      <c r="P119" s="62" t="s">
        <v>3644</v>
      </c>
      <c r="Q119" s="62" t="s">
        <v>3644</v>
      </c>
      <c r="R119" s="65" t="s">
        <v>3645</v>
      </c>
      <c r="S119" s="58" t="s">
        <v>123</v>
      </c>
      <c r="T119" s="64" t="s">
        <v>3644</v>
      </c>
      <c r="U119" s="58" t="s">
        <v>123</v>
      </c>
      <c r="V119" s="64" t="s">
        <v>3644</v>
      </c>
      <c r="W119" s="58" t="s">
        <v>123</v>
      </c>
      <c r="X119" s="45">
        <f t="shared" si="2"/>
        <v>2</v>
      </c>
    </row>
    <row r="120" spans="1:24" ht="30" x14ac:dyDescent="0.25">
      <c r="A120" s="56" t="s">
        <v>726</v>
      </c>
      <c r="B120" s="57" t="s">
        <v>742</v>
      </c>
      <c r="C120" s="47" t="s">
        <v>743</v>
      </c>
      <c r="D120" s="47" t="s">
        <v>744</v>
      </c>
      <c r="E120" s="47" t="s">
        <v>538</v>
      </c>
      <c r="F120" s="47" t="s">
        <v>538</v>
      </c>
      <c r="G120" s="61" t="s">
        <v>2528</v>
      </c>
      <c r="H120" s="62" t="s">
        <v>3646</v>
      </c>
      <c r="I120" s="58" t="s">
        <v>123</v>
      </c>
      <c r="J120" s="58" t="s">
        <v>123</v>
      </c>
      <c r="K120" s="58" t="s">
        <v>123</v>
      </c>
      <c r="L120" s="58" t="s">
        <v>123</v>
      </c>
      <c r="M120" s="58" t="s">
        <v>123</v>
      </c>
      <c r="N120" s="58" t="s">
        <v>123</v>
      </c>
      <c r="O120" s="61" t="s">
        <v>2528</v>
      </c>
      <c r="P120" s="58" t="s">
        <v>123</v>
      </c>
      <c r="Q120" s="58" t="s">
        <v>123</v>
      </c>
      <c r="R120" s="58" t="s">
        <v>123</v>
      </c>
      <c r="S120" s="61" t="s">
        <v>2528</v>
      </c>
      <c r="T120" s="61" t="s">
        <v>123</v>
      </c>
      <c r="U120" s="58" t="s">
        <v>123</v>
      </c>
      <c r="V120" s="61" t="s">
        <v>123</v>
      </c>
      <c r="W120" s="58" t="s">
        <v>123</v>
      </c>
      <c r="X120" s="45">
        <f t="shared" si="2"/>
        <v>3</v>
      </c>
    </row>
    <row r="121" spans="1:24" ht="30" x14ac:dyDescent="0.25">
      <c r="A121" s="56" t="s">
        <v>726</v>
      </c>
      <c r="B121" s="57" t="s">
        <v>745</v>
      </c>
      <c r="C121" s="47" t="s">
        <v>746</v>
      </c>
      <c r="D121" s="47" t="s">
        <v>747</v>
      </c>
      <c r="E121" s="47" t="s">
        <v>538</v>
      </c>
      <c r="F121" s="47" t="s">
        <v>538</v>
      </c>
      <c r="G121" s="58" t="s">
        <v>123</v>
      </c>
      <c r="H121" s="65" t="s">
        <v>3645</v>
      </c>
      <c r="I121" s="58" t="s">
        <v>123</v>
      </c>
      <c r="J121" s="58" t="s">
        <v>123</v>
      </c>
      <c r="K121" s="58" t="s">
        <v>123</v>
      </c>
      <c r="L121" s="58" t="s">
        <v>123</v>
      </c>
      <c r="M121" s="58" t="s">
        <v>123</v>
      </c>
      <c r="N121" s="58" t="s">
        <v>123</v>
      </c>
      <c r="O121" s="62" t="s">
        <v>3644</v>
      </c>
      <c r="P121" s="58" t="s">
        <v>123</v>
      </c>
      <c r="Q121" s="58" t="s">
        <v>123</v>
      </c>
      <c r="R121" s="58" t="s">
        <v>123</v>
      </c>
      <c r="S121" s="58" t="s">
        <v>123</v>
      </c>
      <c r="T121" s="58" t="s">
        <v>123</v>
      </c>
      <c r="U121" s="58" t="s">
        <v>123</v>
      </c>
      <c r="V121" s="58" t="s">
        <v>123</v>
      </c>
      <c r="W121" s="58" t="s">
        <v>123</v>
      </c>
      <c r="X121" s="45">
        <f t="shared" si="2"/>
        <v>1</v>
      </c>
    </row>
    <row r="122" spans="1:24" x14ac:dyDescent="0.25">
      <c r="A122" s="56" t="s">
        <v>726</v>
      </c>
      <c r="B122" s="57" t="s">
        <v>748</v>
      </c>
      <c r="C122" s="47" t="s">
        <v>749</v>
      </c>
      <c r="D122" s="47" t="s">
        <v>750</v>
      </c>
      <c r="E122" s="47" t="s">
        <v>538</v>
      </c>
      <c r="F122" s="47" t="s">
        <v>538</v>
      </c>
      <c r="G122" s="58" t="s">
        <v>123</v>
      </c>
      <c r="H122" s="58" t="s">
        <v>123</v>
      </c>
      <c r="I122" s="58" t="s">
        <v>123</v>
      </c>
      <c r="J122" s="61" t="s">
        <v>2528</v>
      </c>
      <c r="K122" s="62" t="s">
        <v>3646</v>
      </c>
      <c r="L122" s="62" t="s">
        <v>3646</v>
      </c>
      <c r="M122" s="58" t="s">
        <v>123</v>
      </c>
      <c r="N122" s="58" t="s">
        <v>123</v>
      </c>
      <c r="O122" s="58" t="s">
        <v>123</v>
      </c>
      <c r="P122" s="58" t="s">
        <v>123</v>
      </c>
      <c r="Q122" s="58" t="s">
        <v>123</v>
      </c>
      <c r="R122" s="58" t="s">
        <v>123</v>
      </c>
      <c r="S122" s="58" t="s">
        <v>123</v>
      </c>
      <c r="T122" s="58" t="s">
        <v>123</v>
      </c>
      <c r="U122" s="58" t="s">
        <v>123</v>
      </c>
      <c r="V122" s="58" t="s">
        <v>123</v>
      </c>
      <c r="W122" s="58" t="s">
        <v>123</v>
      </c>
      <c r="X122" s="45">
        <f t="shared" si="2"/>
        <v>1</v>
      </c>
    </row>
    <row r="123" spans="1:24" ht="30" x14ac:dyDescent="0.25">
      <c r="A123" s="56" t="s">
        <v>726</v>
      </c>
      <c r="B123" s="57" t="s">
        <v>751</v>
      </c>
      <c r="C123" s="47" t="s">
        <v>752</v>
      </c>
      <c r="D123" s="47" t="s">
        <v>753</v>
      </c>
      <c r="E123" s="47" t="s">
        <v>538</v>
      </c>
      <c r="F123" s="47" t="s">
        <v>538</v>
      </c>
      <c r="G123" s="58" t="s">
        <v>123</v>
      </c>
      <c r="H123" s="58" t="s">
        <v>123</v>
      </c>
      <c r="I123" s="58" t="s">
        <v>123</v>
      </c>
      <c r="J123" s="62" t="s">
        <v>3644</v>
      </c>
      <c r="K123" s="62" t="s">
        <v>3644</v>
      </c>
      <c r="L123" s="65" t="s">
        <v>3645</v>
      </c>
      <c r="M123" s="58" t="s">
        <v>123</v>
      </c>
      <c r="N123" s="58" t="s">
        <v>123</v>
      </c>
      <c r="O123" s="58" t="s">
        <v>123</v>
      </c>
      <c r="P123" s="58" t="s">
        <v>123</v>
      </c>
      <c r="Q123" s="58" t="s">
        <v>123</v>
      </c>
      <c r="R123" s="58" t="s">
        <v>123</v>
      </c>
      <c r="S123" s="58" t="s">
        <v>123</v>
      </c>
      <c r="T123" s="58" t="s">
        <v>123</v>
      </c>
      <c r="U123" s="58" t="s">
        <v>123</v>
      </c>
      <c r="V123" s="58" t="s">
        <v>123</v>
      </c>
      <c r="W123" s="58" t="s">
        <v>123</v>
      </c>
      <c r="X123" s="45">
        <f t="shared" si="2"/>
        <v>1</v>
      </c>
    </row>
    <row r="124" spans="1:24" ht="30" x14ac:dyDescent="0.25">
      <c r="A124" s="56" t="s">
        <v>726</v>
      </c>
      <c r="B124" s="57" t="s">
        <v>754</v>
      </c>
      <c r="C124" s="47" t="s">
        <v>755</v>
      </c>
      <c r="D124" s="47" t="s">
        <v>756</v>
      </c>
      <c r="E124" s="47" t="s">
        <v>538</v>
      </c>
      <c r="F124" s="47" t="s">
        <v>538</v>
      </c>
      <c r="G124" s="58" t="s">
        <v>123</v>
      </c>
      <c r="H124" s="58" t="s">
        <v>123</v>
      </c>
      <c r="I124" s="58" t="s">
        <v>123</v>
      </c>
      <c r="J124" s="62" t="s">
        <v>3644</v>
      </c>
      <c r="K124" s="65" t="s">
        <v>3645</v>
      </c>
      <c r="L124" s="62" t="s">
        <v>3644</v>
      </c>
      <c r="M124" s="58" t="s">
        <v>123</v>
      </c>
      <c r="N124" s="58" t="s">
        <v>123</v>
      </c>
      <c r="O124" s="58" t="s">
        <v>123</v>
      </c>
      <c r="P124" s="58" t="s">
        <v>123</v>
      </c>
      <c r="Q124" s="58" t="s">
        <v>123</v>
      </c>
      <c r="R124" s="58" t="s">
        <v>123</v>
      </c>
      <c r="S124" s="58" t="s">
        <v>123</v>
      </c>
      <c r="T124" s="58" t="s">
        <v>123</v>
      </c>
      <c r="U124" s="58" t="s">
        <v>123</v>
      </c>
      <c r="V124" s="58" t="s">
        <v>123</v>
      </c>
      <c r="W124" s="58" t="s">
        <v>123</v>
      </c>
      <c r="X124" s="45">
        <f t="shared" si="2"/>
        <v>1</v>
      </c>
    </row>
    <row r="125" spans="1:24" x14ac:dyDescent="0.25">
      <c r="A125" s="41" t="s">
        <v>757</v>
      </c>
      <c r="B125" s="53"/>
      <c r="C125" s="54"/>
      <c r="D125" s="54"/>
      <c r="E125" s="54"/>
      <c r="F125" s="54"/>
      <c r="G125" s="55"/>
      <c r="H125" s="55"/>
      <c r="I125" s="55"/>
      <c r="J125" s="55"/>
      <c r="K125" s="55"/>
      <c r="L125" s="55"/>
      <c r="M125" s="55"/>
      <c r="N125" s="55"/>
      <c r="O125" s="55"/>
      <c r="P125" s="55"/>
      <c r="Q125" s="55"/>
      <c r="R125" s="55"/>
      <c r="S125" s="55"/>
      <c r="T125" s="55"/>
      <c r="U125" s="55"/>
      <c r="V125" s="55"/>
      <c r="W125" s="55"/>
      <c r="X125" s="45">
        <f t="shared" si="2"/>
        <v>0</v>
      </c>
    </row>
    <row r="126" spans="1:24" x14ac:dyDescent="0.25">
      <c r="A126" s="56" t="s">
        <v>757</v>
      </c>
      <c r="B126" s="57" t="s">
        <v>758</v>
      </c>
      <c r="C126" s="47" t="s">
        <v>759</v>
      </c>
      <c r="D126" s="47" t="s">
        <v>760</v>
      </c>
      <c r="E126" s="47" t="s">
        <v>538</v>
      </c>
      <c r="F126" s="47" t="s">
        <v>538</v>
      </c>
      <c r="G126" s="62" t="s">
        <v>3644</v>
      </c>
      <c r="H126" s="62" t="s">
        <v>3644</v>
      </c>
      <c r="I126" s="62" t="s">
        <v>3644</v>
      </c>
      <c r="J126" s="61" t="s">
        <v>2528</v>
      </c>
      <c r="K126" s="61" t="s">
        <v>2528</v>
      </c>
      <c r="L126" s="61" t="s">
        <v>2528</v>
      </c>
      <c r="M126" s="61" t="s">
        <v>2528</v>
      </c>
      <c r="N126" s="61" t="s">
        <v>2528</v>
      </c>
      <c r="O126" s="62" t="s">
        <v>3644</v>
      </c>
      <c r="P126" s="61" t="s">
        <v>2528</v>
      </c>
      <c r="Q126" s="61" t="s">
        <v>2528</v>
      </c>
      <c r="R126" s="61" t="s">
        <v>2528</v>
      </c>
      <c r="S126" s="62" t="s">
        <v>3644</v>
      </c>
      <c r="T126" s="61" t="s">
        <v>2528</v>
      </c>
      <c r="U126" s="62" t="s">
        <v>3644</v>
      </c>
      <c r="V126" s="61" t="s">
        <v>2528</v>
      </c>
      <c r="W126" s="62" t="s">
        <v>3644</v>
      </c>
      <c r="X126" s="45">
        <f t="shared" si="2"/>
        <v>10</v>
      </c>
    </row>
    <row r="127" spans="1:24" ht="30" x14ac:dyDescent="0.25">
      <c r="A127" s="56" t="s">
        <v>757</v>
      </c>
      <c r="B127" s="57" t="s">
        <v>761</v>
      </c>
      <c r="C127" s="47" t="s">
        <v>762</v>
      </c>
      <c r="D127" s="47" t="s">
        <v>763</v>
      </c>
      <c r="E127" s="47" t="s">
        <v>538</v>
      </c>
      <c r="F127" s="47" t="s">
        <v>538</v>
      </c>
      <c r="G127" s="61" t="s">
        <v>2528</v>
      </c>
      <c r="H127" s="61" t="s">
        <v>2528</v>
      </c>
      <c r="I127" s="61" t="s">
        <v>2528</v>
      </c>
      <c r="J127" s="62" t="s">
        <v>3644</v>
      </c>
      <c r="K127" s="62" t="s">
        <v>3644</v>
      </c>
      <c r="L127" s="62" t="s">
        <v>3644</v>
      </c>
      <c r="M127" s="62" t="s">
        <v>3644</v>
      </c>
      <c r="N127" s="62" t="s">
        <v>3644</v>
      </c>
      <c r="O127" s="61" t="s">
        <v>2528</v>
      </c>
      <c r="P127" s="62" t="s">
        <v>3644</v>
      </c>
      <c r="Q127" s="62" t="s">
        <v>3644</v>
      </c>
      <c r="R127" s="62" t="s">
        <v>3644</v>
      </c>
      <c r="S127" s="61" t="s">
        <v>2528</v>
      </c>
      <c r="T127" s="64" t="s">
        <v>3680</v>
      </c>
      <c r="U127" s="61" t="s">
        <v>2528</v>
      </c>
      <c r="V127" s="64" t="s">
        <v>3681</v>
      </c>
      <c r="W127" s="61" t="s">
        <v>2528</v>
      </c>
      <c r="X127" s="45">
        <f t="shared" si="2"/>
        <v>7</v>
      </c>
    </row>
    <row r="128" spans="1:24" x14ac:dyDescent="0.25">
      <c r="A128" s="41" t="s">
        <v>764</v>
      </c>
      <c r="B128" s="53"/>
      <c r="C128" s="54"/>
      <c r="D128" s="54"/>
      <c r="E128" s="54"/>
      <c r="F128" s="54"/>
      <c r="G128" s="55"/>
      <c r="H128" s="55"/>
      <c r="I128" s="55"/>
      <c r="J128" s="55"/>
      <c r="K128" s="55"/>
      <c r="L128" s="55"/>
      <c r="M128" s="55"/>
      <c r="N128" s="55"/>
      <c r="O128" s="55"/>
      <c r="P128" s="55"/>
      <c r="Q128" s="55"/>
      <c r="R128" s="55"/>
      <c r="S128" s="55"/>
      <c r="T128" s="55"/>
      <c r="U128" s="55"/>
      <c r="V128" s="55"/>
      <c r="W128" s="55"/>
      <c r="X128" s="45">
        <f t="shared" si="2"/>
        <v>0</v>
      </c>
    </row>
    <row r="129" spans="1:24" x14ac:dyDescent="0.25">
      <c r="A129" s="56" t="s">
        <v>764</v>
      </c>
      <c r="B129" s="57" t="s">
        <v>765</v>
      </c>
      <c r="C129" s="47" t="s">
        <v>766</v>
      </c>
      <c r="D129" s="47" t="s">
        <v>767</v>
      </c>
      <c r="E129" s="47" t="s">
        <v>538</v>
      </c>
      <c r="F129" s="47" t="s">
        <v>538</v>
      </c>
      <c r="G129" s="64" t="s">
        <v>3585</v>
      </c>
      <c r="H129" s="64" t="s">
        <v>3585</v>
      </c>
      <c r="I129" s="64" t="s">
        <v>3585</v>
      </c>
      <c r="J129" s="64" t="s">
        <v>3585</v>
      </c>
      <c r="K129" s="64" t="s">
        <v>3585</v>
      </c>
      <c r="L129" s="61" t="s">
        <v>2528</v>
      </c>
      <c r="M129" s="64" t="s">
        <v>3585</v>
      </c>
      <c r="N129" s="64" t="s">
        <v>3585</v>
      </c>
      <c r="O129" s="64" t="s">
        <v>3585</v>
      </c>
      <c r="P129" s="64" t="s">
        <v>3585</v>
      </c>
      <c r="Q129" s="64" t="s">
        <v>3585</v>
      </c>
      <c r="R129" s="64" t="s">
        <v>3585</v>
      </c>
      <c r="S129" s="64" t="s">
        <v>3585</v>
      </c>
      <c r="T129" s="83" t="s">
        <v>3673</v>
      </c>
      <c r="U129" s="83" t="s">
        <v>3687</v>
      </c>
      <c r="V129" s="83" t="s">
        <v>3673</v>
      </c>
      <c r="W129" s="83" t="s">
        <v>3687</v>
      </c>
      <c r="X129" s="85">
        <f t="shared" si="2"/>
        <v>5</v>
      </c>
    </row>
    <row r="130" spans="1:24" ht="30" x14ac:dyDescent="0.25">
      <c r="A130" s="56" t="s">
        <v>764</v>
      </c>
      <c r="B130" s="57" t="s">
        <v>768</v>
      </c>
      <c r="C130" s="47" t="s">
        <v>769</v>
      </c>
      <c r="D130" s="47" t="s">
        <v>770</v>
      </c>
      <c r="E130" s="47" t="s">
        <v>538</v>
      </c>
      <c r="F130" s="47" t="s">
        <v>538</v>
      </c>
      <c r="G130" s="61" t="s">
        <v>2528</v>
      </c>
      <c r="H130" s="61" t="s">
        <v>2528</v>
      </c>
      <c r="I130" s="61" t="s">
        <v>2528</v>
      </c>
      <c r="J130" s="61" t="s">
        <v>2528</v>
      </c>
      <c r="K130" s="62" t="s">
        <v>3646</v>
      </c>
      <c r="L130" s="62" t="s">
        <v>3646</v>
      </c>
      <c r="M130" s="62" t="s">
        <v>3646</v>
      </c>
      <c r="N130" s="62" t="s">
        <v>3646</v>
      </c>
      <c r="O130" s="62" t="s">
        <v>3646</v>
      </c>
      <c r="P130" s="62" t="s">
        <v>3646</v>
      </c>
      <c r="Q130" s="62" t="s">
        <v>3646</v>
      </c>
      <c r="R130" s="62" t="s">
        <v>3646</v>
      </c>
      <c r="S130" s="61" t="s">
        <v>2528</v>
      </c>
      <c r="T130" s="62" t="s">
        <v>3679</v>
      </c>
      <c r="U130" s="62" t="s">
        <v>3708</v>
      </c>
      <c r="V130" s="62" t="s">
        <v>3676</v>
      </c>
      <c r="W130" s="62" t="s">
        <v>3705</v>
      </c>
      <c r="X130" s="45">
        <f t="shared" si="2"/>
        <v>5</v>
      </c>
    </row>
    <row r="131" spans="1:24" ht="30" x14ac:dyDescent="0.25">
      <c r="A131" s="56" t="s">
        <v>764</v>
      </c>
      <c r="B131" s="57" t="s">
        <v>771</v>
      </c>
      <c r="C131" s="47" t="s">
        <v>772</v>
      </c>
      <c r="D131" s="47" t="s">
        <v>773</v>
      </c>
      <c r="E131" s="47" t="s">
        <v>538</v>
      </c>
      <c r="F131" s="47" t="s">
        <v>538</v>
      </c>
      <c r="G131" s="64" t="s">
        <v>3585</v>
      </c>
      <c r="H131" s="64" t="s">
        <v>3585</v>
      </c>
      <c r="I131" s="64" t="s">
        <v>3585</v>
      </c>
      <c r="J131" s="64" t="s">
        <v>3585</v>
      </c>
      <c r="K131" s="65" t="s">
        <v>3647</v>
      </c>
      <c r="L131" s="65" t="s">
        <v>3647</v>
      </c>
      <c r="M131" s="65" t="s">
        <v>3647</v>
      </c>
      <c r="N131" s="65" t="s">
        <v>3647</v>
      </c>
      <c r="O131" s="65" t="s">
        <v>3647</v>
      </c>
      <c r="P131" s="65" t="s">
        <v>3647</v>
      </c>
      <c r="Q131" s="65" t="s">
        <v>3647</v>
      </c>
      <c r="R131" s="65" t="s">
        <v>3647</v>
      </c>
      <c r="S131" s="64" t="s">
        <v>3585</v>
      </c>
      <c r="T131" s="83" t="s">
        <v>3673</v>
      </c>
      <c r="U131" s="83" t="s">
        <v>3692</v>
      </c>
      <c r="V131" s="83" t="s">
        <v>3672</v>
      </c>
      <c r="W131" s="83" t="s">
        <v>3687</v>
      </c>
      <c r="X131" s="45">
        <f t="shared" si="2"/>
        <v>12</v>
      </c>
    </row>
    <row r="132" spans="1:24" x14ac:dyDescent="0.25">
      <c r="A132" s="41" t="s">
        <v>774</v>
      </c>
      <c r="B132" s="53"/>
      <c r="C132" s="54"/>
      <c r="D132" s="54"/>
      <c r="E132" s="54"/>
      <c r="F132" s="54"/>
      <c r="G132" s="55"/>
      <c r="H132" s="55"/>
      <c r="I132" s="55"/>
      <c r="J132" s="55"/>
      <c r="K132" s="55"/>
      <c r="L132" s="55"/>
      <c r="M132" s="55"/>
      <c r="N132" s="55"/>
      <c r="O132" s="55"/>
      <c r="P132" s="55"/>
      <c r="Q132" s="55"/>
      <c r="R132" s="55"/>
      <c r="S132" s="55"/>
      <c r="T132" s="55"/>
      <c r="U132" s="55"/>
      <c r="V132" s="55"/>
      <c r="W132" s="55"/>
      <c r="X132" s="45">
        <f t="shared" si="2"/>
        <v>0</v>
      </c>
    </row>
    <row r="133" spans="1:24" ht="45" x14ac:dyDescent="0.25">
      <c r="A133" s="56" t="s">
        <v>774</v>
      </c>
      <c r="B133" s="57" t="s">
        <v>775</v>
      </c>
      <c r="C133" s="47" t="s">
        <v>776</v>
      </c>
      <c r="D133" s="47" t="s">
        <v>777</v>
      </c>
      <c r="E133" s="47" t="s">
        <v>538</v>
      </c>
      <c r="F133" s="47" t="s">
        <v>778</v>
      </c>
      <c r="G133" s="61" t="s">
        <v>2528</v>
      </c>
      <c r="H133" s="61" t="s">
        <v>2528</v>
      </c>
      <c r="I133" s="61" t="s">
        <v>2528</v>
      </c>
      <c r="J133" s="61" t="s">
        <v>2528</v>
      </c>
      <c r="K133" s="61" t="s">
        <v>2528</v>
      </c>
      <c r="L133" s="61" t="s">
        <v>2528</v>
      </c>
      <c r="M133" s="61" t="s">
        <v>2528</v>
      </c>
      <c r="N133" s="61" t="s">
        <v>2528</v>
      </c>
      <c r="O133" s="61" t="s">
        <v>2528</v>
      </c>
      <c r="P133" s="61" t="s">
        <v>2528</v>
      </c>
      <c r="Q133" s="61" t="s">
        <v>2528</v>
      </c>
      <c r="R133" s="61" t="s">
        <v>2528</v>
      </c>
      <c r="S133" s="61" t="s">
        <v>2528</v>
      </c>
      <c r="T133" s="61" t="s">
        <v>2528</v>
      </c>
      <c r="U133" s="61" t="s">
        <v>2528</v>
      </c>
      <c r="V133" s="61" t="s">
        <v>2528</v>
      </c>
      <c r="W133" s="61" t="s">
        <v>2528</v>
      </c>
      <c r="X133" s="45">
        <f t="shared" si="2"/>
        <v>17</v>
      </c>
    </row>
    <row r="134" spans="1:24" x14ac:dyDescent="0.25">
      <c r="A134" s="41" t="s">
        <v>779</v>
      </c>
      <c r="B134" s="53"/>
      <c r="C134" s="54"/>
      <c r="D134" s="54"/>
      <c r="E134" s="54"/>
      <c r="F134" s="54"/>
      <c r="G134" s="55"/>
      <c r="H134" s="55"/>
      <c r="I134" s="55"/>
      <c r="J134" s="55"/>
      <c r="K134" s="55"/>
      <c r="L134" s="55"/>
      <c r="M134" s="55"/>
      <c r="N134" s="55"/>
      <c r="O134" s="55"/>
      <c r="P134" s="55"/>
      <c r="Q134" s="55"/>
      <c r="R134" s="55"/>
      <c r="S134" s="55"/>
      <c r="T134" s="55"/>
      <c r="U134" s="55"/>
      <c r="V134" s="55"/>
      <c r="W134" s="55"/>
      <c r="X134" s="45">
        <f t="shared" si="2"/>
        <v>0</v>
      </c>
    </row>
    <row r="135" spans="1:24" x14ac:dyDescent="0.25">
      <c r="A135" s="56" t="s">
        <v>779</v>
      </c>
      <c r="B135" s="57" t="s">
        <v>780</v>
      </c>
      <c r="C135" s="47" t="s">
        <v>781</v>
      </c>
      <c r="D135" s="47" t="s">
        <v>782</v>
      </c>
      <c r="E135" s="47" t="s">
        <v>538</v>
      </c>
      <c r="F135" s="47" t="s">
        <v>538</v>
      </c>
      <c r="G135" s="61" t="s">
        <v>2528</v>
      </c>
      <c r="H135" s="61" t="s">
        <v>2528</v>
      </c>
      <c r="I135" s="61" t="s">
        <v>2528</v>
      </c>
      <c r="J135" s="61" t="s">
        <v>2528</v>
      </c>
      <c r="K135" s="61" t="s">
        <v>2528</v>
      </c>
      <c r="L135" s="61" t="s">
        <v>2528</v>
      </c>
      <c r="M135" s="61" t="s">
        <v>2528</v>
      </c>
      <c r="N135" s="61" t="s">
        <v>2528</v>
      </c>
      <c r="O135" s="61" t="s">
        <v>2528</v>
      </c>
      <c r="P135" s="61" t="s">
        <v>2528</v>
      </c>
      <c r="Q135" s="61" t="s">
        <v>2528</v>
      </c>
      <c r="R135" s="61" t="s">
        <v>2528</v>
      </c>
      <c r="S135" s="61" t="s">
        <v>2528</v>
      </c>
      <c r="T135" s="61" t="s">
        <v>2528</v>
      </c>
      <c r="U135" s="61" t="s">
        <v>2528</v>
      </c>
      <c r="V135" s="61" t="s">
        <v>2528</v>
      </c>
      <c r="W135" s="61" t="s">
        <v>2528</v>
      </c>
      <c r="X135" s="45">
        <f t="shared" si="2"/>
        <v>17</v>
      </c>
    </row>
    <row r="136" spans="1:24" x14ac:dyDescent="0.25">
      <c r="A136" s="41" t="s">
        <v>783</v>
      </c>
      <c r="B136" s="53"/>
      <c r="C136" s="54"/>
      <c r="D136" s="54"/>
      <c r="E136" s="54"/>
      <c r="F136" s="54"/>
      <c r="G136" s="55"/>
      <c r="H136" s="55"/>
      <c r="I136" s="55"/>
      <c r="J136" s="55"/>
      <c r="K136" s="55"/>
      <c r="L136" s="55"/>
      <c r="M136" s="55"/>
      <c r="N136" s="55"/>
      <c r="O136" s="55"/>
      <c r="P136" s="55"/>
      <c r="Q136" s="55"/>
      <c r="R136" s="55"/>
      <c r="S136" s="55"/>
      <c r="T136" s="55"/>
      <c r="U136" s="55"/>
      <c r="V136" s="55"/>
      <c r="W136" s="55"/>
      <c r="X136" s="45">
        <f t="shared" si="2"/>
        <v>0</v>
      </c>
    </row>
    <row r="137" spans="1:24" x14ac:dyDescent="0.25">
      <c r="A137" s="56" t="s">
        <v>783</v>
      </c>
      <c r="B137" s="57" t="s">
        <v>784</v>
      </c>
      <c r="C137" s="47" t="s">
        <v>785</v>
      </c>
      <c r="D137" s="47" t="s">
        <v>786</v>
      </c>
      <c r="E137" s="47" t="s">
        <v>538</v>
      </c>
      <c r="F137" s="47" t="s">
        <v>538</v>
      </c>
      <c r="G137" s="61" t="s">
        <v>2528</v>
      </c>
      <c r="H137" s="61" t="s">
        <v>2528</v>
      </c>
      <c r="I137" s="62" t="s">
        <v>3646</v>
      </c>
      <c r="J137" s="62" t="s">
        <v>3646</v>
      </c>
      <c r="K137" s="62" t="s">
        <v>3646</v>
      </c>
      <c r="L137" s="62" t="s">
        <v>3646</v>
      </c>
      <c r="M137" s="58" t="s">
        <v>123</v>
      </c>
      <c r="N137" s="58" t="s">
        <v>123</v>
      </c>
      <c r="O137" s="61" t="s">
        <v>2528</v>
      </c>
      <c r="P137" s="58" t="s">
        <v>123</v>
      </c>
      <c r="Q137" s="58" t="s">
        <v>123</v>
      </c>
      <c r="R137" s="58" t="s">
        <v>123</v>
      </c>
      <c r="S137" s="61" t="s">
        <v>2528</v>
      </c>
      <c r="T137" s="61" t="s">
        <v>123</v>
      </c>
      <c r="U137" s="62" t="s">
        <v>3646</v>
      </c>
      <c r="V137" s="61" t="s">
        <v>123</v>
      </c>
      <c r="W137" s="62" t="s">
        <v>3646</v>
      </c>
      <c r="X137" s="45">
        <f t="shared" si="2"/>
        <v>4</v>
      </c>
    </row>
    <row r="138" spans="1:24" ht="60" x14ac:dyDescent="0.25">
      <c r="A138" s="56" t="s">
        <v>783</v>
      </c>
      <c r="B138" s="57" t="s">
        <v>787</v>
      </c>
      <c r="C138" s="47" t="s">
        <v>788</v>
      </c>
      <c r="D138" s="47" t="s">
        <v>789</v>
      </c>
      <c r="E138" s="47" t="s">
        <v>790</v>
      </c>
      <c r="F138" s="47" t="s">
        <v>538</v>
      </c>
      <c r="G138" s="62" t="s">
        <v>3643</v>
      </c>
      <c r="H138" s="62" t="s">
        <v>3643</v>
      </c>
      <c r="I138" s="65" t="s">
        <v>3642</v>
      </c>
      <c r="J138" s="65" t="s">
        <v>3642</v>
      </c>
      <c r="K138" s="65" t="s">
        <v>3642</v>
      </c>
      <c r="L138" s="65" t="s">
        <v>3642</v>
      </c>
      <c r="M138" s="61" t="s">
        <v>2528</v>
      </c>
      <c r="N138" s="61" t="s">
        <v>2528</v>
      </c>
      <c r="O138" s="62" t="s">
        <v>3643</v>
      </c>
      <c r="P138" s="61" t="s">
        <v>2528</v>
      </c>
      <c r="Q138" s="61" t="s">
        <v>2528</v>
      </c>
      <c r="R138" s="61" t="s">
        <v>2528</v>
      </c>
      <c r="S138" s="62" t="s">
        <v>3643</v>
      </c>
      <c r="T138" s="61" t="s">
        <v>2528</v>
      </c>
      <c r="U138" s="65" t="s">
        <v>3642</v>
      </c>
      <c r="V138" s="61" t="s">
        <v>2528</v>
      </c>
      <c r="W138" s="65" t="s">
        <v>3642</v>
      </c>
      <c r="X138" s="45">
        <f t="shared" si="2"/>
        <v>13</v>
      </c>
    </row>
    <row r="139" spans="1:24" ht="30" x14ac:dyDescent="0.25">
      <c r="A139" s="56" t="s">
        <v>783</v>
      </c>
      <c r="B139" s="57" t="s">
        <v>791</v>
      </c>
      <c r="C139" s="47" t="s">
        <v>792</v>
      </c>
      <c r="D139" s="47" t="s">
        <v>793</v>
      </c>
      <c r="E139" s="47" t="s">
        <v>794</v>
      </c>
      <c r="F139" s="47" t="s">
        <v>538</v>
      </c>
      <c r="G139" s="63" t="s">
        <v>3584</v>
      </c>
      <c r="H139" s="63" t="s">
        <v>3584</v>
      </c>
      <c r="I139" s="63" t="s">
        <v>3584</v>
      </c>
      <c r="J139" s="63" t="s">
        <v>3584</v>
      </c>
      <c r="K139" s="63" t="s">
        <v>3584</v>
      </c>
      <c r="L139" s="63" t="s">
        <v>3584</v>
      </c>
      <c r="M139" s="63" t="s">
        <v>3584</v>
      </c>
      <c r="N139" s="63" t="s">
        <v>3584</v>
      </c>
      <c r="O139" s="63" t="s">
        <v>3584</v>
      </c>
      <c r="P139" s="63" t="s">
        <v>3584</v>
      </c>
      <c r="Q139" s="63" t="s">
        <v>3584</v>
      </c>
      <c r="R139" s="63" t="s">
        <v>3584</v>
      </c>
      <c r="S139" s="63" t="s">
        <v>3584</v>
      </c>
      <c r="T139" s="63" t="s">
        <v>3584</v>
      </c>
      <c r="U139" s="63" t="s">
        <v>3584</v>
      </c>
      <c r="V139" s="63" t="s">
        <v>3584</v>
      </c>
      <c r="W139" s="63" t="s">
        <v>3584</v>
      </c>
      <c r="X139" s="45">
        <f t="shared" si="2"/>
        <v>17</v>
      </c>
    </row>
    <row r="140" spans="1:24" ht="30" x14ac:dyDescent="0.25">
      <c r="A140" s="56" t="s">
        <v>783</v>
      </c>
      <c r="B140" s="57" t="s">
        <v>795</v>
      </c>
      <c r="C140" s="47" t="s">
        <v>796</v>
      </c>
      <c r="D140" s="47" t="s">
        <v>797</v>
      </c>
      <c r="E140" s="47" t="s">
        <v>798</v>
      </c>
      <c r="F140" s="47" t="s">
        <v>538</v>
      </c>
      <c r="G140" s="63" t="s">
        <v>3584</v>
      </c>
      <c r="H140" s="63" t="s">
        <v>3584</v>
      </c>
      <c r="I140" s="63" t="s">
        <v>3584</v>
      </c>
      <c r="J140" s="63" t="s">
        <v>3584</v>
      </c>
      <c r="K140" s="63" t="s">
        <v>3584</v>
      </c>
      <c r="L140" s="63" t="s">
        <v>3584</v>
      </c>
      <c r="M140" s="63" t="s">
        <v>3584</v>
      </c>
      <c r="N140" s="63" t="s">
        <v>3584</v>
      </c>
      <c r="O140" s="63" t="s">
        <v>3584</v>
      </c>
      <c r="P140" s="63" t="s">
        <v>3584</v>
      </c>
      <c r="Q140" s="63" t="s">
        <v>3584</v>
      </c>
      <c r="R140" s="63" t="s">
        <v>3584</v>
      </c>
      <c r="S140" s="63" t="s">
        <v>3584</v>
      </c>
      <c r="T140" s="63" t="s">
        <v>3584</v>
      </c>
      <c r="U140" s="63" t="s">
        <v>3584</v>
      </c>
      <c r="V140" s="63" t="s">
        <v>3584</v>
      </c>
      <c r="W140" s="63" t="s">
        <v>3584</v>
      </c>
      <c r="X140" s="45">
        <f t="shared" ref="X140:X171" si="3">COUNTIF(G140:W140,"*-Y")+COUNTIF(G140:W140,"S")+COUNTIF(G140:W140,"M")</f>
        <v>17</v>
      </c>
    </row>
    <row r="141" spans="1:24" x14ac:dyDescent="0.25">
      <c r="A141" s="41" t="s">
        <v>799</v>
      </c>
      <c r="B141" s="53"/>
      <c r="C141" s="54"/>
      <c r="D141" s="54"/>
      <c r="E141" s="54"/>
      <c r="F141" s="54"/>
      <c r="G141" s="55"/>
      <c r="H141" s="55"/>
      <c r="I141" s="55"/>
      <c r="J141" s="55"/>
      <c r="K141" s="55"/>
      <c r="L141" s="55"/>
      <c r="M141" s="55"/>
      <c r="N141" s="55"/>
      <c r="O141" s="55"/>
      <c r="P141" s="55"/>
      <c r="Q141" s="55"/>
      <c r="R141" s="55"/>
      <c r="S141" s="55"/>
      <c r="T141" s="55"/>
      <c r="U141" s="55"/>
      <c r="V141" s="55"/>
      <c r="W141" s="55"/>
      <c r="X141" s="45">
        <f t="shared" si="3"/>
        <v>0</v>
      </c>
    </row>
    <row r="142" spans="1:24" x14ac:dyDescent="0.25">
      <c r="A142" s="56" t="s">
        <v>799</v>
      </c>
      <c r="B142" s="57" t="s">
        <v>800</v>
      </c>
      <c r="C142" s="47" t="s">
        <v>801</v>
      </c>
      <c r="D142" s="47" t="s">
        <v>801</v>
      </c>
      <c r="E142" s="47" t="s">
        <v>538</v>
      </c>
      <c r="F142" s="47" t="s">
        <v>802</v>
      </c>
      <c r="G142" s="61" t="s">
        <v>2528</v>
      </c>
      <c r="H142" s="61" t="s">
        <v>2528</v>
      </c>
      <c r="I142" s="61" t="s">
        <v>2528</v>
      </c>
      <c r="J142" s="62" t="s">
        <v>3646</v>
      </c>
      <c r="K142" s="62" t="s">
        <v>3646</v>
      </c>
      <c r="L142" s="62" t="s">
        <v>3646</v>
      </c>
      <c r="M142" s="58" t="s">
        <v>123</v>
      </c>
      <c r="N142" s="58" t="s">
        <v>123</v>
      </c>
      <c r="O142" s="61" t="s">
        <v>2528</v>
      </c>
      <c r="P142" s="58" t="s">
        <v>123</v>
      </c>
      <c r="Q142" s="58" t="s">
        <v>123</v>
      </c>
      <c r="R142" s="58" t="s">
        <v>123</v>
      </c>
      <c r="S142" s="61" t="s">
        <v>2528</v>
      </c>
      <c r="T142" s="61" t="s">
        <v>123</v>
      </c>
      <c r="U142" s="62" t="s">
        <v>3710</v>
      </c>
      <c r="V142" s="61" t="s">
        <v>123</v>
      </c>
      <c r="W142" s="62" t="s">
        <v>3710</v>
      </c>
      <c r="X142" s="45">
        <f t="shared" si="3"/>
        <v>5</v>
      </c>
    </row>
    <row r="143" spans="1:24" x14ac:dyDescent="0.25">
      <c r="A143" s="56" t="s">
        <v>799</v>
      </c>
      <c r="B143" s="57" t="s">
        <v>803</v>
      </c>
      <c r="C143" s="47" t="s">
        <v>804</v>
      </c>
      <c r="D143" s="47" t="s">
        <v>805</v>
      </c>
      <c r="E143" s="47" t="s">
        <v>538</v>
      </c>
      <c r="F143" s="47" t="s">
        <v>806</v>
      </c>
      <c r="G143" s="58" t="s">
        <v>123</v>
      </c>
      <c r="H143" s="58" t="s">
        <v>123</v>
      </c>
      <c r="I143" s="58" t="s">
        <v>123</v>
      </c>
      <c r="J143" s="58" t="s">
        <v>123</v>
      </c>
      <c r="K143" s="58" t="s">
        <v>123</v>
      </c>
      <c r="L143" s="58" t="s">
        <v>123</v>
      </c>
      <c r="M143" s="62" t="s">
        <v>3646</v>
      </c>
      <c r="N143" s="62" t="s">
        <v>3646</v>
      </c>
      <c r="O143" s="58" t="s">
        <v>123</v>
      </c>
      <c r="P143" s="62" t="s">
        <v>3646</v>
      </c>
      <c r="Q143" s="61" t="s">
        <v>2528</v>
      </c>
      <c r="R143" s="62" t="s">
        <v>3646</v>
      </c>
      <c r="S143" s="58" t="s">
        <v>123</v>
      </c>
      <c r="T143" s="62" t="s">
        <v>3694</v>
      </c>
      <c r="U143" s="58" t="s">
        <v>123</v>
      </c>
      <c r="V143" s="62" t="s">
        <v>3712</v>
      </c>
      <c r="W143" s="58" t="s">
        <v>123</v>
      </c>
      <c r="X143" s="45">
        <f t="shared" si="3"/>
        <v>1</v>
      </c>
    </row>
    <row r="144" spans="1:24" ht="30" x14ac:dyDescent="0.25">
      <c r="A144" s="56" t="s">
        <v>799</v>
      </c>
      <c r="B144" s="57" t="s">
        <v>807</v>
      </c>
      <c r="C144" s="47" t="s">
        <v>808</v>
      </c>
      <c r="D144" s="47" t="s">
        <v>809</v>
      </c>
      <c r="E144" s="47" t="s">
        <v>538</v>
      </c>
      <c r="F144" s="47" t="s">
        <v>810</v>
      </c>
      <c r="G144" s="62" t="s">
        <v>3644</v>
      </c>
      <c r="H144" s="62" t="s">
        <v>3644</v>
      </c>
      <c r="I144" s="62" t="s">
        <v>3644</v>
      </c>
      <c r="J144" s="65" t="s">
        <v>3645</v>
      </c>
      <c r="K144" s="65" t="s">
        <v>3645</v>
      </c>
      <c r="L144" s="65" t="s">
        <v>3645</v>
      </c>
      <c r="M144" s="65" t="s">
        <v>3645</v>
      </c>
      <c r="N144" s="65" t="s">
        <v>3645</v>
      </c>
      <c r="O144" s="62" t="s">
        <v>3644</v>
      </c>
      <c r="P144" s="65" t="s">
        <v>3645</v>
      </c>
      <c r="Q144" s="62" t="s">
        <v>3644</v>
      </c>
      <c r="R144" s="65" t="s">
        <v>3645</v>
      </c>
      <c r="S144" s="62" t="s">
        <v>3644</v>
      </c>
      <c r="T144" s="83" t="s">
        <v>3645</v>
      </c>
      <c r="U144" s="83" t="s">
        <v>3645</v>
      </c>
      <c r="V144" s="83" t="s">
        <v>3645</v>
      </c>
      <c r="W144" s="83" t="s">
        <v>3645</v>
      </c>
      <c r="X144" s="45">
        <f t="shared" si="3"/>
        <v>11</v>
      </c>
    </row>
    <row r="145" spans="1:24" x14ac:dyDescent="0.25">
      <c r="A145" s="41" t="s">
        <v>811</v>
      </c>
      <c r="B145" s="53"/>
      <c r="C145" s="54"/>
      <c r="D145" s="54"/>
      <c r="E145" s="54"/>
      <c r="F145" s="54"/>
      <c r="G145" s="55"/>
      <c r="H145" s="55"/>
      <c r="I145" s="55"/>
      <c r="J145" s="55"/>
      <c r="K145" s="55"/>
      <c r="L145" s="55"/>
      <c r="M145" s="55"/>
      <c r="N145" s="55"/>
      <c r="O145" s="55"/>
      <c r="P145" s="55"/>
      <c r="Q145" s="55"/>
      <c r="R145" s="55"/>
      <c r="S145" s="55"/>
      <c r="T145" s="55"/>
      <c r="U145" s="55"/>
      <c r="V145" s="55"/>
      <c r="W145" s="55"/>
      <c r="X145" s="45">
        <f t="shared" si="3"/>
        <v>0</v>
      </c>
    </row>
    <row r="146" spans="1:24" ht="60" x14ac:dyDescent="0.25">
      <c r="A146" s="56" t="s">
        <v>811</v>
      </c>
      <c r="B146" s="57" t="s">
        <v>812</v>
      </c>
      <c r="C146" s="47" t="s">
        <v>813</v>
      </c>
      <c r="D146" s="47" t="s">
        <v>814</v>
      </c>
      <c r="E146" s="47" t="s">
        <v>538</v>
      </c>
      <c r="F146" s="47" t="s">
        <v>815</v>
      </c>
      <c r="G146" s="61" t="s">
        <v>2528</v>
      </c>
      <c r="H146" s="61" t="s">
        <v>2528</v>
      </c>
      <c r="I146" s="61" t="s">
        <v>2528</v>
      </c>
      <c r="J146" s="61" t="s">
        <v>2528</v>
      </c>
      <c r="K146" s="61" t="s">
        <v>2528</v>
      </c>
      <c r="L146" s="61" t="s">
        <v>2528</v>
      </c>
      <c r="M146" s="61" t="s">
        <v>2528</v>
      </c>
      <c r="N146" s="61" t="s">
        <v>2528</v>
      </c>
      <c r="O146" s="61" t="s">
        <v>2528</v>
      </c>
      <c r="P146" s="61" t="s">
        <v>2528</v>
      </c>
      <c r="Q146" s="61" t="s">
        <v>2528</v>
      </c>
      <c r="R146" s="61" t="s">
        <v>2528</v>
      </c>
      <c r="S146" s="61" t="s">
        <v>2528</v>
      </c>
      <c r="T146" s="61" t="s">
        <v>2528</v>
      </c>
      <c r="U146" s="61" t="s">
        <v>2528</v>
      </c>
      <c r="V146" s="61" t="s">
        <v>2528</v>
      </c>
      <c r="W146" s="61" t="s">
        <v>2528</v>
      </c>
      <c r="X146" s="45">
        <f t="shared" si="3"/>
        <v>17</v>
      </c>
    </row>
    <row r="147" spans="1:24" x14ac:dyDescent="0.25">
      <c r="A147" s="56" t="s">
        <v>811</v>
      </c>
      <c r="B147" s="57" t="s">
        <v>816</v>
      </c>
      <c r="C147" s="47" t="s">
        <v>817</v>
      </c>
      <c r="D147" s="47" t="s">
        <v>817</v>
      </c>
      <c r="E147" s="47" t="s">
        <v>538</v>
      </c>
      <c r="F147" s="47" t="s">
        <v>538</v>
      </c>
      <c r="G147" s="61" t="s">
        <v>2528</v>
      </c>
      <c r="H147" s="61" t="s">
        <v>2528</v>
      </c>
      <c r="I147" s="61" t="s">
        <v>2528</v>
      </c>
      <c r="J147" s="61" t="s">
        <v>2528</v>
      </c>
      <c r="K147" s="61" t="s">
        <v>2528</v>
      </c>
      <c r="L147" s="61" t="s">
        <v>2528</v>
      </c>
      <c r="M147" s="61" t="s">
        <v>2528</v>
      </c>
      <c r="N147" s="61" t="s">
        <v>2528</v>
      </c>
      <c r="O147" s="61" t="s">
        <v>2528</v>
      </c>
      <c r="P147" s="61" t="s">
        <v>2528</v>
      </c>
      <c r="Q147" s="61" t="s">
        <v>2528</v>
      </c>
      <c r="R147" s="61" t="s">
        <v>2528</v>
      </c>
      <c r="S147" s="61" t="s">
        <v>2528</v>
      </c>
      <c r="T147" s="61" t="s">
        <v>2528</v>
      </c>
      <c r="U147" s="61" t="s">
        <v>2528</v>
      </c>
      <c r="V147" s="61" t="s">
        <v>2528</v>
      </c>
      <c r="W147" s="61" t="s">
        <v>2528</v>
      </c>
      <c r="X147" s="45">
        <f t="shared" si="3"/>
        <v>17</v>
      </c>
    </row>
    <row r="148" spans="1:24" ht="30" x14ac:dyDescent="0.25">
      <c r="A148" s="56" t="s">
        <v>811</v>
      </c>
      <c r="B148" s="57" t="s">
        <v>818</v>
      </c>
      <c r="C148" s="47" t="s">
        <v>819</v>
      </c>
      <c r="D148" s="47" t="s">
        <v>819</v>
      </c>
      <c r="E148" s="47" t="s">
        <v>820</v>
      </c>
      <c r="F148" s="47" t="s">
        <v>538</v>
      </c>
      <c r="G148" s="65" t="s">
        <v>3642</v>
      </c>
      <c r="H148" s="61" t="s">
        <v>2528</v>
      </c>
      <c r="I148" s="61" t="s">
        <v>2528</v>
      </c>
      <c r="J148" s="61" t="s">
        <v>2528</v>
      </c>
      <c r="K148" s="61" t="s">
        <v>2528</v>
      </c>
      <c r="L148" s="61" t="s">
        <v>2528</v>
      </c>
      <c r="M148" s="61" t="s">
        <v>2528</v>
      </c>
      <c r="N148" s="61" t="s">
        <v>2528</v>
      </c>
      <c r="O148" s="61" t="s">
        <v>2528</v>
      </c>
      <c r="P148" s="61" t="s">
        <v>2528</v>
      </c>
      <c r="Q148" s="61" t="s">
        <v>2528</v>
      </c>
      <c r="R148" s="61" t="s">
        <v>2528</v>
      </c>
      <c r="S148" s="65" t="s">
        <v>3642</v>
      </c>
      <c r="T148" s="61" t="s">
        <v>2528</v>
      </c>
      <c r="U148" s="61" t="s">
        <v>2528</v>
      </c>
      <c r="V148" s="61" t="s">
        <v>2528</v>
      </c>
      <c r="W148" s="61" t="s">
        <v>2528</v>
      </c>
      <c r="X148" s="45">
        <f t="shared" si="3"/>
        <v>17</v>
      </c>
    </row>
    <row r="149" spans="1:24" x14ac:dyDescent="0.25">
      <c r="A149" s="56" t="s">
        <v>811</v>
      </c>
      <c r="B149" s="57" t="s">
        <v>821</v>
      </c>
      <c r="C149" s="47" t="s">
        <v>822</v>
      </c>
      <c r="D149" s="47" t="s">
        <v>823</v>
      </c>
      <c r="E149" s="47" t="s">
        <v>538</v>
      </c>
      <c r="F149" s="47" t="s">
        <v>538</v>
      </c>
      <c r="G149" s="61" t="s">
        <v>2528</v>
      </c>
      <c r="H149" s="61" t="s">
        <v>2528</v>
      </c>
      <c r="I149" s="61" t="s">
        <v>2528</v>
      </c>
      <c r="J149" s="61" t="s">
        <v>2528</v>
      </c>
      <c r="K149" s="61" t="s">
        <v>2528</v>
      </c>
      <c r="L149" s="61" t="s">
        <v>2528</v>
      </c>
      <c r="M149" s="61" t="s">
        <v>2528</v>
      </c>
      <c r="N149" s="61" t="s">
        <v>2528</v>
      </c>
      <c r="O149" s="61" t="s">
        <v>2528</v>
      </c>
      <c r="P149" s="61" t="s">
        <v>2528</v>
      </c>
      <c r="Q149" s="61" t="s">
        <v>2528</v>
      </c>
      <c r="R149" s="61" t="s">
        <v>2528</v>
      </c>
      <c r="S149" s="61" t="s">
        <v>2528</v>
      </c>
      <c r="T149" s="61" t="s">
        <v>2528</v>
      </c>
      <c r="U149" s="61" t="s">
        <v>2528</v>
      </c>
      <c r="V149" s="61" t="s">
        <v>2528</v>
      </c>
      <c r="W149" s="61" t="s">
        <v>2528</v>
      </c>
      <c r="X149" s="45">
        <f t="shared" si="3"/>
        <v>17</v>
      </c>
    </row>
    <row r="150" spans="1:24" ht="30" x14ac:dyDescent="0.25">
      <c r="A150" s="56" t="s">
        <v>811</v>
      </c>
      <c r="B150" s="57" t="s">
        <v>824</v>
      </c>
      <c r="C150" s="47" t="s">
        <v>825</v>
      </c>
      <c r="D150" s="47" t="s">
        <v>825</v>
      </c>
      <c r="E150" s="47" t="s">
        <v>820</v>
      </c>
      <c r="F150" s="47" t="s">
        <v>538</v>
      </c>
      <c r="G150" s="65" t="s">
        <v>3647</v>
      </c>
      <c r="H150" s="61" t="s">
        <v>2528</v>
      </c>
      <c r="I150" s="61" t="s">
        <v>2528</v>
      </c>
      <c r="J150" s="61" t="s">
        <v>2528</v>
      </c>
      <c r="K150" s="61" t="s">
        <v>2528</v>
      </c>
      <c r="L150" s="61" t="s">
        <v>2528</v>
      </c>
      <c r="M150" s="61" t="s">
        <v>2528</v>
      </c>
      <c r="N150" s="61" t="s">
        <v>2528</v>
      </c>
      <c r="O150" s="61" t="s">
        <v>2528</v>
      </c>
      <c r="P150" s="61" t="s">
        <v>2528</v>
      </c>
      <c r="Q150" s="61" t="s">
        <v>2528</v>
      </c>
      <c r="R150" s="61" t="s">
        <v>2528</v>
      </c>
      <c r="S150" s="65" t="s">
        <v>3647</v>
      </c>
      <c r="T150" s="61" t="s">
        <v>2528</v>
      </c>
      <c r="U150" s="61" t="s">
        <v>2528</v>
      </c>
      <c r="V150" s="61" t="s">
        <v>2528</v>
      </c>
      <c r="W150" s="61" t="s">
        <v>2528</v>
      </c>
      <c r="X150" s="45">
        <f t="shared" si="3"/>
        <v>17</v>
      </c>
    </row>
    <row r="151" spans="1:24" x14ac:dyDescent="0.25">
      <c r="A151" s="56" t="s">
        <v>811</v>
      </c>
      <c r="B151" s="57" t="s">
        <v>826</v>
      </c>
      <c r="C151" s="47" t="s">
        <v>827</v>
      </c>
      <c r="D151" s="47" t="s">
        <v>827</v>
      </c>
      <c r="E151" s="47" t="s">
        <v>538</v>
      </c>
      <c r="F151" s="47" t="s">
        <v>538</v>
      </c>
      <c r="G151" s="62" t="s">
        <v>3646</v>
      </c>
      <c r="H151" s="58" t="s">
        <v>123</v>
      </c>
      <c r="I151" s="58" t="s">
        <v>123</v>
      </c>
      <c r="J151" s="58" t="s">
        <v>123</v>
      </c>
      <c r="K151" s="58" t="s">
        <v>123</v>
      </c>
      <c r="L151" s="58" t="s">
        <v>123</v>
      </c>
      <c r="M151" s="58" t="s">
        <v>123</v>
      </c>
      <c r="N151" s="58" t="s">
        <v>123</v>
      </c>
      <c r="O151" s="58" t="s">
        <v>123</v>
      </c>
      <c r="P151" s="58" t="s">
        <v>123</v>
      </c>
      <c r="Q151" s="58" t="s">
        <v>123</v>
      </c>
      <c r="R151" s="58" t="s">
        <v>123</v>
      </c>
      <c r="S151" s="62" t="s">
        <v>3646</v>
      </c>
      <c r="T151" s="62" t="s">
        <v>123</v>
      </c>
      <c r="U151" s="58" t="s">
        <v>123</v>
      </c>
      <c r="V151" s="62" t="s">
        <v>123</v>
      </c>
      <c r="W151" s="58" t="s">
        <v>123</v>
      </c>
      <c r="X151" s="45">
        <f t="shared" si="3"/>
        <v>0</v>
      </c>
    </row>
    <row r="152" spans="1:24" ht="45" x14ac:dyDescent="0.25">
      <c r="A152" s="56" t="s">
        <v>811</v>
      </c>
      <c r="B152" s="57" t="s">
        <v>828</v>
      </c>
      <c r="C152" s="47" t="s">
        <v>829</v>
      </c>
      <c r="D152" s="47" t="s">
        <v>829</v>
      </c>
      <c r="E152" s="47" t="s">
        <v>830</v>
      </c>
      <c r="F152" s="47" t="s">
        <v>538</v>
      </c>
      <c r="G152" s="65" t="s">
        <v>3647</v>
      </c>
      <c r="H152" s="61" t="s">
        <v>2528</v>
      </c>
      <c r="I152" s="61" t="s">
        <v>2528</v>
      </c>
      <c r="J152" s="61" t="s">
        <v>2528</v>
      </c>
      <c r="K152" s="61" t="s">
        <v>2528</v>
      </c>
      <c r="L152" s="61" t="s">
        <v>2528</v>
      </c>
      <c r="M152" s="61" t="s">
        <v>2528</v>
      </c>
      <c r="N152" s="61" t="s">
        <v>2528</v>
      </c>
      <c r="O152" s="61" t="s">
        <v>2528</v>
      </c>
      <c r="P152" s="61" t="s">
        <v>2528</v>
      </c>
      <c r="Q152" s="61" t="s">
        <v>2528</v>
      </c>
      <c r="R152" s="61" t="s">
        <v>2528</v>
      </c>
      <c r="S152" s="65" t="s">
        <v>3647</v>
      </c>
      <c r="T152" s="61" t="s">
        <v>2528</v>
      </c>
      <c r="U152" s="61" t="s">
        <v>2528</v>
      </c>
      <c r="V152" s="61" t="s">
        <v>2528</v>
      </c>
      <c r="W152" s="61" t="s">
        <v>2528</v>
      </c>
      <c r="X152" s="45">
        <f t="shared" si="3"/>
        <v>17</v>
      </c>
    </row>
    <row r="153" spans="1:24" x14ac:dyDescent="0.25">
      <c r="A153" s="41" t="s">
        <v>831</v>
      </c>
      <c r="B153" s="53"/>
      <c r="C153" s="54"/>
      <c r="D153" s="54"/>
      <c r="E153" s="54"/>
      <c r="F153" s="54"/>
      <c r="G153" s="55"/>
      <c r="H153" s="55"/>
      <c r="I153" s="55"/>
      <c r="J153" s="55"/>
      <c r="K153" s="55"/>
      <c r="L153" s="55"/>
      <c r="M153" s="55"/>
      <c r="N153" s="55"/>
      <c r="O153" s="55"/>
      <c r="P153" s="55"/>
      <c r="Q153" s="55"/>
      <c r="R153" s="55"/>
      <c r="S153" s="55"/>
      <c r="T153" s="55"/>
      <c r="U153" s="55"/>
      <c r="V153" s="55"/>
      <c r="W153" s="55"/>
      <c r="X153" s="45">
        <f t="shared" si="3"/>
        <v>0</v>
      </c>
    </row>
    <row r="154" spans="1:24" ht="45" x14ac:dyDescent="0.25">
      <c r="A154" s="56" t="s">
        <v>831</v>
      </c>
      <c r="B154" s="57" t="s">
        <v>832</v>
      </c>
      <c r="C154" s="47" t="s">
        <v>833</v>
      </c>
      <c r="D154" s="47" t="s">
        <v>834</v>
      </c>
      <c r="E154" s="47" t="s">
        <v>538</v>
      </c>
      <c r="F154" s="47" t="s">
        <v>835</v>
      </c>
      <c r="G154" s="64" t="s">
        <v>3585</v>
      </c>
      <c r="H154" s="64" t="s">
        <v>3585</v>
      </c>
      <c r="I154" s="64" t="s">
        <v>3585</v>
      </c>
      <c r="J154" s="64" t="s">
        <v>3585</v>
      </c>
      <c r="K154" s="65" t="s">
        <v>3647</v>
      </c>
      <c r="L154" s="65" t="s">
        <v>3647</v>
      </c>
      <c r="M154" s="65" t="s">
        <v>3645</v>
      </c>
      <c r="N154" s="65" t="s">
        <v>3645</v>
      </c>
      <c r="O154" s="65" t="s">
        <v>3647</v>
      </c>
      <c r="P154" s="65" t="s">
        <v>3645</v>
      </c>
      <c r="Q154" s="65" t="s">
        <v>3645</v>
      </c>
      <c r="R154" s="65" t="s">
        <v>3645</v>
      </c>
      <c r="S154" s="64" t="s">
        <v>3585</v>
      </c>
      <c r="T154" s="83" t="s">
        <v>3645</v>
      </c>
      <c r="U154" s="83" t="s">
        <v>3704</v>
      </c>
      <c r="V154" s="83" t="s">
        <v>3645</v>
      </c>
      <c r="W154" s="83" t="s">
        <v>3704</v>
      </c>
      <c r="X154" s="45">
        <f t="shared" si="3"/>
        <v>12</v>
      </c>
    </row>
    <row r="155" spans="1:24" ht="30" x14ac:dyDescent="0.25">
      <c r="A155" s="56" t="s">
        <v>831</v>
      </c>
      <c r="B155" s="57" t="s">
        <v>836</v>
      </c>
      <c r="C155" s="47" t="s">
        <v>837</v>
      </c>
      <c r="D155" s="47" t="s">
        <v>838</v>
      </c>
      <c r="E155" s="47" t="s">
        <v>538</v>
      </c>
      <c r="F155" s="47" t="s">
        <v>538</v>
      </c>
      <c r="G155" s="58" t="s">
        <v>123</v>
      </c>
      <c r="H155" s="58" t="s">
        <v>123</v>
      </c>
      <c r="I155" s="64" t="s">
        <v>3585</v>
      </c>
      <c r="J155" s="58" t="s">
        <v>123</v>
      </c>
      <c r="K155" s="58" t="s">
        <v>123</v>
      </c>
      <c r="L155" s="58" t="s">
        <v>123</v>
      </c>
      <c r="M155" s="61" t="s">
        <v>2528</v>
      </c>
      <c r="N155" s="61" t="s">
        <v>2528</v>
      </c>
      <c r="O155" s="58" t="s">
        <v>123</v>
      </c>
      <c r="P155" s="61" t="s">
        <v>2528</v>
      </c>
      <c r="Q155" s="61" t="s">
        <v>2528</v>
      </c>
      <c r="R155" s="61" t="s">
        <v>2528</v>
      </c>
      <c r="S155" s="58" t="s">
        <v>123</v>
      </c>
      <c r="T155" s="61" t="s">
        <v>2528</v>
      </c>
      <c r="U155" s="83" t="s">
        <v>3704</v>
      </c>
      <c r="V155" s="61" t="s">
        <v>2528</v>
      </c>
      <c r="W155" s="83" t="s">
        <v>3704</v>
      </c>
      <c r="X155" s="45">
        <f t="shared" si="3"/>
        <v>9</v>
      </c>
    </row>
    <row r="156" spans="1:24" ht="30" x14ac:dyDescent="0.25">
      <c r="A156" s="56" t="s">
        <v>831</v>
      </c>
      <c r="B156" s="57" t="s">
        <v>3699</v>
      </c>
      <c r="C156" s="47" t="s">
        <v>840</v>
      </c>
      <c r="D156" s="47" t="s">
        <v>841</v>
      </c>
      <c r="E156" s="47" t="s">
        <v>538</v>
      </c>
      <c r="F156" s="47" t="s">
        <v>538</v>
      </c>
      <c r="G156" s="64" t="s">
        <v>3585</v>
      </c>
      <c r="H156" s="64" t="s">
        <v>3585</v>
      </c>
      <c r="I156" s="64" t="s">
        <v>3585</v>
      </c>
      <c r="J156" s="64" t="s">
        <v>3585</v>
      </c>
      <c r="K156" s="65" t="s">
        <v>3647</v>
      </c>
      <c r="L156" s="65" t="s">
        <v>3647</v>
      </c>
      <c r="M156" s="65" t="s">
        <v>3647</v>
      </c>
      <c r="N156" s="65" t="s">
        <v>3647</v>
      </c>
      <c r="O156" s="65" t="s">
        <v>3647</v>
      </c>
      <c r="P156" s="65" t="s">
        <v>3647</v>
      </c>
      <c r="Q156" s="65" t="s">
        <v>3647</v>
      </c>
      <c r="R156" s="65" t="s">
        <v>3647</v>
      </c>
      <c r="S156" s="64" t="s">
        <v>3585</v>
      </c>
      <c r="T156" s="83" t="s">
        <v>3672</v>
      </c>
      <c r="U156" s="83" t="s">
        <v>3687</v>
      </c>
      <c r="V156" s="83" t="s">
        <v>3672</v>
      </c>
      <c r="W156" s="83" t="s">
        <v>3687</v>
      </c>
      <c r="X156" s="45">
        <f t="shared" si="3"/>
        <v>12</v>
      </c>
    </row>
    <row r="157" spans="1:24" x14ac:dyDescent="0.25">
      <c r="A157" s="41" t="s">
        <v>842</v>
      </c>
      <c r="B157" s="53"/>
      <c r="C157" s="54"/>
      <c r="D157" s="54"/>
      <c r="E157" s="54"/>
      <c r="F157" s="54"/>
      <c r="G157" s="55"/>
      <c r="H157" s="55"/>
      <c r="I157" s="55"/>
      <c r="J157" s="55"/>
      <c r="K157" s="55"/>
      <c r="L157" s="55"/>
      <c r="M157" s="55"/>
      <c r="N157" s="55"/>
      <c r="O157" s="55"/>
      <c r="P157" s="55"/>
      <c r="Q157" s="55"/>
      <c r="R157" s="55"/>
      <c r="S157" s="55"/>
      <c r="T157" s="55"/>
      <c r="U157" s="55"/>
      <c r="V157" s="55"/>
      <c r="W157" s="55"/>
      <c r="X157" s="45">
        <f t="shared" si="3"/>
        <v>0</v>
      </c>
    </row>
    <row r="158" spans="1:24" x14ac:dyDescent="0.25">
      <c r="A158" s="56" t="s">
        <v>842</v>
      </c>
      <c r="B158" s="57" t="s">
        <v>843</v>
      </c>
      <c r="C158" s="47" t="s">
        <v>844</v>
      </c>
      <c r="D158" s="47" t="s">
        <v>845</v>
      </c>
      <c r="E158" s="47" t="s">
        <v>538</v>
      </c>
      <c r="F158" s="47" t="s">
        <v>538</v>
      </c>
      <c r="G158" s="62" t="s">
        <v>3644</v>
      </c>
      <c r="H158" s="62" t="s">
        <v>3644</v>
      </c>
      <c r="I158" s="62" t="s">
        <v>3644</v>
      </c>
      <c r="J158" s="62" t="s">
        <v>3644</v>
      </c>
      <c r="K158" s="65" t="s">
        <v>3645</v>
      </c>
      <c r="L158" s="65" t="s">
        <v>3645</v>
      </c>
      <c r="M158" s="65" t="s">
        <v>3645</v>
      </c>
      <c r="N158" s="65" t="s">
        <v>3645</v>
      </c>
      <c r="O158" s="62" t="s">
        <v>3644</v>
      </c>
      <c r="P158" s="65" t="s">
        <v>3645</v>
      </c>
      <c r="Q158" s="65" t="s">
        <v>3645</v>
      </c>
      <c r="R158" s="65" t="s">
        <v>3645</v>
      </c>
      <c r="S158" s="62" t="s">
        <v>3644</v>
      </c>
      <c r="T158" s="83" t="s">
        <v>3645</v>
      </c>
      <c r="U158" s="83" t="s">
        <v>3645</v>
      </c>
      <c r="V158" s="83" t="s">
        <v>3645</v>
      </c>
      <c r="W158" s="83" t="s">
        <v>3645</v>
      </c>
      <c r="X158" s="45">
        <f t="shared" si="3"/>
        <v>11</v>
      </c>
    </row>
    <row r="159" spans="1:24" ht="30" x14ac:dyDescent="0.25">
      <c r="A159" s="56" t="s">
        <v>842</v>
      </c>
      <c r="B159" s="57" t="s">
        <v>846</v>
      </c>
      <c r="C159" s="47" t="s">
        <v>847</v>
      </c>
      <c r="D159" s="47" t="s">
        <v>848</v>
      </c>
      <c r="E159" s="47" t="s">
        <v>538</v>
      </c>
      <c r="F159" s="47" t="s">
        <v>538</v>
      </c>
      <c r="G159" s="61" t="s">
        <v>2528</v>
      </c>
      <c r="H159" s="58" t="s">
        <v>123</v>
      </c>
      <c r="I159" s="58" t="s">
        <v>123</v>
      </c>
      <c r="J159" s="58" t="s">
        <v>123</v>
      </c>
      <c r="K159" s="58" t="s">
        <v>123</v>
      </c>
      <c r="L159" s="58" t="s">
        <v>123</v>
      </c>
      <c r="M159" s="58" t="s">
        <v>123</v>
      </c>
      <c r="N159" s="58" t="s">
        <v>123</v>
      </c>
      <c r="O159" s="58" t="s">
        <v>123</v>
      </c>
      <c r="P159" s="58" t="s">
        <v>123</v>
      </c>
      <c r="Q159" s="58" t="s">
        <v>123</v>
      </c>
      <c r="R159" s="58" t="s">
        <v>123</v>
      </c>
      <c r="S159" s="61" t="s">
        <v>2528</v>
      </c>
      <c r="T159" s="61" t="s">
        <v>123</v>
      </c>
      <c r="U159" s="58" t="s">
        <v>123</v>
      </c>
      <c r="V159" s="61" t="s">
        <v>123</v>
      </c>
      <c r="W159" s="58" t="s">
        <v>123</v>
      </c>
      <c r="X159" s="45">
        <f t="shared" si="3"/>
        <v>2</v>
      </c>
    </row>
    <row r="160" spans="1:24" x14ac:dyDescent="0.25">
      <c r="A160" s="56" t="s">
        <v>842</v>
      </c>
      <c r="B160" s="57" t="s">
        <v>849</v>
      </c>
      <c r="C160" s="47" t="s">
        <v>850</v>
      </c>
      <c r="D160" s="47" t="s">
        <v>851</v>
      </c>
      <c r="E160" s="47" t="s">
        <v>538</v>
      </c>
      <c r="F160" s="47" t="s">
        <v>538</v>
      </c>
      <c r="G160" s="58" t="s">
        <v>123</v>
      </c>
      <c r="H160" s="61" t="s">
        <v>2528</v>
      </c>
      <c r="I160" s="61" t="s">
        <v>2528</v>
      </c>
      <c r="J160" s="61" t="s">
        <v>2528</v>
      </c>
      <c r="K160" s="61" t="s">
        <v>2528</v>
      </c>
      <c r="L160" s="61" t="s">
        <v>2528</v>
      </c>
      <c r="M160" s="61" t="s">
        <v>2528</v>
      </c>
      <c r="N160" s="61" t="s">
        <v>2528</v>
      </c>
      <c r="O160" s="61" t="s">
        <v>2528</v>
      </c>
      <c r="P160" s="61" t="s">
        <v>2528</v>
      </c>
      <c r="Q160" s="61" t="s">
        <v>2528</v>
      </c>
      <c r="R160" s="61" t="s">
        <v>2528</v>
      </c>
      <c r="S160" s="58" t="s">
        <v>123</v>
      </c>
      <c r="T160" s="61" t="s">
        <v>2528</v>
      </c>
      <c r="U160" s="61" t="s">
        <v>2528</v>
      </c>
      <c r="V160" s="61" t="s">
        <v>2528</v>
      </c>
      <c r="W160" s="61" t="s">
        <v>2528</v>
      </c>
      <c r="X160" s="45">
        <f t="shared" si="3"/>
        <v>15</v>
      </c>
    </row>
    <row r="161" spans="1:24" x14ac:dyDescent="0.25">
      <c r="A161" s="41" t="s">
        <v>852</v>
      </c>
      <c r="B161" s="53"/>
      <c r="C161" s="54"/>
      <c r="D161" s="54"/>
      <c r="E161" s="54"/>
      <c r="F161" s="54"/>
      <c r="G161" s="55"/>
      <c r="H161" s="55"/>
      <c r="I161" s="55"/>
      <c r="J161" s="55"/>
      <c r="K161" s="55"/>
      <c r="L161" s="55"/>
      <c r="M161" s="55"/>
      <c r="N161" s="55"/>
      <c r="O161" s="55"/>
      <c r="P161" s="55"/>
      <c r="Q161" s="55"/>
      <c r="R161" s="55"/>
      <c r="S161" s="55"/>
      <c r="T161" s="55"/>
      <c r="U161" s="55"/>
      <c r="V161" s="55"/>
      <c r="W161" s="55"/>
      <c r="X161" s="45">
        <f t="shared" si="3"/>
        <v>0</v>
      </c>
    </row>
    <row r="162" spans="1:24" x14ac:dyDescent="0.25">
      <c r="A162" s="56" t="s">
        <v>852</v>
      </c>
      <c r="B162" s="57" t="s">
        <v>853</v>
      </c>
      <c r="C162" s="47" t="s">
        <v>854</v>
      </c>
      <c r="D162" s="47" t="s">
        <v>855</v>
      </c>
      <c r="E162" s="47" t="s">
        <v>538</v>
      </c>
      <c r="F162" s="47" t="s">
        <v>538</v>
      </c>
      <c r="G162" s="64" t="s">
        <v>3585</v>
      </c>
      <c r="H162" s="64" t="s">
        <v>3585</v>
      </c>
      <c r="I162" s="61" t="s">
        <v>2528</v>
      </c>
      <c r="J162" s="64" t="s">
        <v>3585</v>
      </c>
      <c r="K162" s="65" t="s">
        <v>3647</v>
      </c>
      <c r="L162" s="65" t="s">
        <v>3647</v>
      </c>
      <c r="M162" s="61" t="s">
        <v>2528</v>
      </c>
      <c r="N162" s="61" t="s">
        <v>2528</v>
      </c>
      <c r="O162" s="65" t="s">
        <v>3647</v>
      </c>
      <c r="P162" s="61" t="s">
        <v>2528</v>
      </c>
      <c r="Q162" s="61" t="s">
        <v>2528</v>
      </c>
      <c r="R162" s="61" t="s">
        <v>2528</v>
      </c>
      <c r="S162" s="64" t="s">
        <v>3585</v>
      </c>
      <c r="T162" s="84" t="s">
        <v>2528</v>
      </c>
      <c r="U162" s="84" t="s">
        <v>2528</v>
      </c>
      <c r="V162" s="84" t="s">
        <v>2528</v>
      </c>
      <c r="W162" s="84" t="s">
        <v>2528</v>
      </c>
      <c r="X162" s="45">
        <f t="shared" si="3"/>
        <v>13</v>
      </c>
    </row>
    <row r="163" spans="1:24" x14ac:dyDescent="0.25">
      <c r="A163" s="56" t="s">
        <v>852</v>
      </c>
      <c r="B163" s="57" t="s">
        <v>856</v>
      </c>
      <c r="C163" s="47" t="s">
        <v>857</v>
      </c>
      <c r="D163" s="47" t="s">
        <v>858</v>
      </c>
      <c r="E163" s="47" t="s">
        <v>859</v>
      </c>
      <c r="F163" s="47" t="s">
        <v>538</v>
      </c>
      <c r="G163" s="64" t="s">
        <v>3585</v>
      </c>
      <c r="H163" s="64" t="s">
        <v>3585</v>
      </c>
      <c r="I163" s="64" t="s">
        <v>3585</v>
      </c>
      <c r="J163" s="64" t="s">
        <v>3585</v>
      </c>
      <c r="K163" s="65" t="s">
        <v>3647</v>
      </c>
      <c r="L163" s="65" t="s">
        <v>3647</v>
      </c>
      <c r="M163" s="65" t="s">
        <v>3645</v>
      </c>
      <c r="N163" s="65" t="s">
        <v>3645</v>
      </c>
      <c r="O163" s="65" t="s">
        <v>3647</v>
      </c>
      <c r="P163" s="65" t="s">
        <v>3645</v>
      </c>
      <c r="Q163" s="65" t="s">
        <v>3645</v>
      </c>
      <c r="R163" s="65" t="s">
        <v>3645</v>
      </c>
      <c r="S163" s="64" t="s">
        <v>3585</v>
      </c>
      <c r="T163" s="83" t="s">
        <v>3645</v>
      </c>
      <c r="U163" s="83" t="s">
        <v>3702</v>
      </c>
      <c r="V163" s="83" t="s">
        <v>3645</v>
      </c>
      <c r="W163" s="83" t="s">
        <v>3702</v>
      </c>
      <c r="X163" s="45">
        <f t="shared" si="3"/>
        <v>12</v>
      </c>
    </row>
    <row r="164" spans="1:24" ht="30" x14ac:dyDescent="0.25">
      <c r="A164" s="56" t="s">
        <v>852</v>
      </c>
      <c r="B164" s="57" t="s">
        <v>860</v>
      </c>
      <c r="C164" s="47" t="s">
        <v>861</v>
      </c>
      <c r="D164" s="47" t="s">
        <v>862</v>
      </c>
      <c r="E164" s="47" t="s">
        <v>538</v>
      </c>
      <c r="F164" s="47" t="s">
        <v>863</v>
      </c>
      <c r="G164" s="61" t="s">
        <v>2528</v>
      </c>
      <c r="H164" s="61" t="s">
        <v>2528</v>
      </c>
      <c r="I164" s="61" t="s">
        <v>2528</v>
      </c>
      <c r="J164" s="61" t="s">
        <v>2528</v>
      </c>
      <c r="K164" s="61" t="s">
        <v>2528</v>
      </c>
      <c r="L164" s="61" t="s">
        <v>2528</v>
      </c>
      <c r="M164" s="61" t="s">
        <v>2528</v>
      </c>
      <c r="N164" s="61" t="s">
        <v>2528</v>
      </c>
      <c r="O164" s="61" t="s">
        <v>2528</v>
      </c>
      <c r="P164" s="61" t="s">
        <v>2528</v>
      </c>
      <c r="Q164" s="61" t="s">
        <v>2528</v>
      </c>
      <c r="R164" s="61" t="s">
        <v>2528</v>
      </c>
      <c r="S164" s="61" t="s">
        <v>2528</v>
      </c>
      <c r="T164" s="61" t="s">
        <v>2528</v>
      </c>
      <c r="U164" s="61" t="s">
        <v>2528</v>
      </c>
      <c r="V164" s="61" t="s">
        <v>2528</v>
      </c>
      <c r="W164" s="61" t="s">
        <v>2528</v>
      </c>
      <c r="X164" s="45">
        <f t="shared" si="3"/>
        <v>17</v>
      </c>
    </row>
    <row r="165" spans="1:24" x14ac:dyDescent="0.25">
      <c r="A165" s="41" t="s">
        <v>864</v>
      </c>
      <c r="B165" s="53"/>
      <c r="C165" s="54"/>
      <c r="D165" s="54"/>
      <c r="E165" s="54"/>
      <c r="F165" s="54"/>
      <c r="G165" s="55"/>
      <c r="H165" s="55"/>
      <c r="I165" s="55"/>
      <c r="J165" s="55"/>
      <c r="K165" s="55"/>
      <c r="L165" s="55"/>
      <c r="M165" s="55"/>
      <c r="N165" s="55"/>
      <c r="O165" s="55"/>
      <c r="P165" s="55"/>
      <c r="Q165" s="55"/>
      <c r="R165" s="55"/>
      <c r="S165" s="55"/>
      <c r="T165" s="55"/>
      <c r="U165" s="55"/>
      <c r="V165" s="55"/>
      <c r="W165" s="55"/>
      <c r="X165" s="45">
        <f t="shared" si="3"/>
        <v>0</v>
      </c>
    </row>
    <row r="166" spans="1:24" x14ac:dyDescent="0.25">
      <c r="A166" s="56" t="s">
        <v>864</v>
      </c>
      <c r="B166" s="57" t="s">
        <v>865</v>
      </c>
      <c r="C166" s="47" t="s">
        <v>866</v>
      </c>
      <c r="D166" s="47" t="s">
        <v>867</v>
      </c>
      <c r="E166" s="47" t="s">
        <v>538</v>
      </c>
      <c r="F166" s="47" t="s">
        <v>538</v>
      </c>
      <c r="G166" s="61" t="s">
        <v>2528</v>
      </c>
      <c r="H166" s="61" t="s">
        <v>2528</v>
      </c>
      <c r="I166" s="61" t="s">
        <v>2528</v>
      </c>
      <c r="J166" s="61" t="s">
        <v>2528</v>
      </c>
      <c r="K166" s="61" t="s">
        <v>2528</v>
      </c>
      <c r="L166" s="61" t="s">
        <v>2528</v>
      </c>
      <c r="M166" s="61" t="s">
        <v>2528</v>
      </c>
      <c r="N166" s="61" t="s">
        <v>2528</v>
      </c>
      <c r="O166" s="61" t="s">
        <v>2528</v>
      </c>
      <c r="P166" s="61" t="s">
        <v>2528</v>
      </c>
      <c r="Q166" s="61" t="s">
        <v>2528</v>
      </c>
      <c r="R166" s="61" t="s">
        <v>2528</v>
      </c>
      <c r="S166" s="61" t="s">
        <v>2528</v>
      </c>
      <c r="T166" s="61" t="s">
        <v>2528</v>
      </c>
      <c r="U166" s="61" t="s">
        <v>2528</v>
      </c>
      <c r="V166" s="61" t="s">
        <v>2528</v>
      </c>
      <c r="W166" s="61" t="s">
        <v>2528</v>
      </c>
      <c r="X166" s="45">
        <f t="shared" si="3"/>
        <v>17</v>
      </c>
    </row>
    <row r="167" spans="1:24" x14ac:dyDescent="0.25">
      <c r="A167" s="56" t="s">
        <v>864</v>
      </c>
      <c r="B167" s="57" t="s">
        <v>868</v>
      </c>
      <c r="C167" s="47" t="s">
        <v>869</v>
      </c>
      <c r="D167" s="47" t="s">
        <v>869</v>
      </c>
      <c r="E167" s="47" t="s">
        <v>538</v>
      </c>
      <c r="F167" s="47" t="s">
        <v>538</v>
      </c>
      <c r="G167" s="64" t="s">
        <v>3585</v>
      </c>
      <c r="H167" s="65" t="s">
        <v>3647</v>
      </c>
      <c r="I167" s="61" t="s">
        <v>2528</v>
      </c>
      <c r="J167" s="64" t="s">
        <v>3585</v>
      </c>
      <c r="K167" s="65" t="s">
        <v>3647</v>
      </c>
      <c r="L167" s="65" t="s">
        <v>3647</v>
      </c>
      <c r="M167" s="61" t="s">
        <v>2528</v>
      </c>
      <c r="N167" s="61" t="s">
        <v>2528</v>
      </c>
      <c r="O167" s="65" t="s">
        <v>3647</v>
      </c>
      <c r="P167" s="61" t="s">
        <v>2528</v>
      </c>
      <c r="Q167" s="61" t="s">
        <v>2528</v>
      </c>
      <c r="R167" s="61" t="s">
        <v>2528</v>
      </c>
      <c r="S167" s="64" t="s">
        <v>3585</v>
      </c>
      <c r="T167" s="84" t="s">
        <v>2528</v>
      </c>
      <c r="U167" s="61" t="s">
        <v>2528</v>
      </c>
      <c r="V167" s="84" t="s">
        <v>2528</v>
      </c>
      <c r="W167" s="61" t="s">
        <v>2528</v>
      </c>
      <c r="X167" s="45">
        <f t="shared" si="3"/>
        <v>14</v>
      </c>
    </row>
    <row r="168" spans="1:24" x14ac:dyDescent="0.25">
      <c r="A168" s="56" t="s">
        <v>864</v>
      </c>
      <c r="B168" s="57" t="s">
        <v>870</v>
      </c>
      <c r="C168" s="47" t="s">
        <v>871</v>
      </c>
      <c r="D168" s="47" t="s">
        <v>872</v>
      </c>
      <c r="E168" s="47" t="s">
        <v>538</v>
      </c>
      <c r="F168" s="47" t="s">
        <v>538</v>
      </c>
      <c r="G168" s="61" t="s">
        <v>2528</v>
      </c>
      <c r="H168" s="58" t="s">
        <v>123</v>
      </c>
      <c r="I168" s="58" t="s">
        <v>123</v>
      </c>
      <c r="J168" s="58" t="s">
        <v>123</v>
      </c>
      <c r="K168" s="58" t="s">
        <v>123</v>
      </c>
      <c r="L168" s="58" t="s">
        <v>123</v>
      </c>
      <c r="M168" s="58" t="s">
        <v>123</v>
      </c>
      <c r="N168" s="58" t="s">
        <v>123</v>
      </c>
      <c r="O168" s="58" t="s">
        <v>123</v>
      </c>
      <c r="P168" s="58" t="s">
        <v>123</v>
      </c>
      <c r="Q168" s="58" t="s">
        <v>123</v>
      </c>
      <c r="R168" s="58" t="s">
        <v>123</v>
      </c>
      <c r="S168" s="61" t="s">
        <v>2528</v>
      </c>
      <c r="T168" s="61" t="s">
        <v>123</v>
      </c>
      <c r="U168" s="58" t="s">
        <v>123</v>
      </c>
      <c r="V168" s="61" t="s">
        <v>123</v>
      </c>
      <c r="W168" s="58" t="s">
        <v>123</v>
      </c>
      <c r="X168" s="45">
        <f t="shared" si="3"/>
        <v>2</v>
      </c>
    </row>
    <row r="169" spans="1:24" ht="30" x14ac:dyDescent="0.25">
      <c r="A169" s="56" t="s">
        <v>864</v>
      </c>
      <c r="B169" s="57" t="s">
        <v>873</v>
      </c>
      <c r="C169" s="47" t="s">
        <v>874</v>
      </c>
      <c r="D169" s="47" t="s">
        <v>874</v>
      </c>
      <c r="E169" s="47" t="s">
        <v>538</v>
      </c>
      <c r="F169" s="47" t="s">
        <v>875</v>
      </c>
      <c r="G169" s="64" t="s">
        <v>3585</v>
      </c>
      <c r="H169" s="61" t="s">
        <v>2528</v>
      </c>
      <c r="I169" s="61" t="s">
        <v>2528</v>
      </c>
      <c r="J169" s="61" t="s">
        <v>2528</v>
      </c>
      <c r="K169" s="61" t="s">
        <v>2528</v>
      </c>
      <c r="L169" s="61" t="s">
        <v>2528</v>
      </c>
      <c r="M169" s="61" t="s">
        <v>2528</v>
      </c>
      <c r="N169" s="61" t="s">
        <v>2528</v>
      </c>
      <c r="O169" s="61" t="s">
        <v>2528</v>
      </c>
      <c r="P169" s="61" t="s">
        <v>2528</v>
      </c>
      <c r="Q169" s="61" t="s">
        <v>2528</v>
      </c>
      <c r="R169" s="61" t="s">
        <v>2528</v>
      </c>
      <c r="S169" s="64" t="s">
        <v>3585</v>
      </c>
      <c r="T169" s="84" t="s">
        <v>2528</v>
      </c>
      <c r="U169" s="61" t="s">
        <v>2528</v>
      </c>
      <c r="V169" s="84" t="s">
        <v>2528</v>
      </c>
      <c r="W169" s="61" t="s">
        <v>2528</v>
      </c>
      <c r="X169" s="45">
        <f t="shared" si="3"/>
        <v>15</v>
      </c>
    </row>
    <row r="170" spans="1:24" x14ac:dyDescent="0.25">
      <c r="A170" s="56" t="s">
        <v>864</v>
      </c>
      <c r="B170" s="57" t="s">
        <v>876</v>
      </c>
      <c r="C170" s="47" t="s">
        <v>877</v>
      </c>
      <c r="D170" s="47" t="s">
        <v>878</v>
      </c>
      <c r="E170" s="47" t="s">
        <v>538</v>
      </c>
      <c r="F170" s="47" t="s">
        <v>879</v>
      </c>
      <c r="G170" s="64" t="s">
        <v>3585</v>
      </c>
      <c r="H170" s="65" t="s">
        <v>3647</v>
      </c>
      <c r="I170" s="61" t="s">
        <v>2528</v>
      </c>
      <c r="J170" s="64" t="s">
        <v>3585</v>
      </c>
      <c r="K170" s="65" t="s">
        <v>3647</v>
      </c>
      <c r="L170" s="65" t="s">
        <v>3647</v>
      </c>
      <c r="M170" s="61" t="s">
        <v>2528</v>
      </c>
      <c r="N170" s="61" t="s">
        <v>2528</v>
      </c>
      <c r="O170" s="65" t="s">
        <v>3647</v>
      </c>
      <c r="P170" s="61" t="s">
        <v>2528</v>
      </c>
      <c r="Q170" s="61" t="s">
        <v>2528</v>
      </c>
      <c r="R170" s="61" t="s">
        <v>2528</v>
      </c>
      <c r="S170" s="64" t="s">
        <v>3585</v>
      </c>
      <c r="T170" s="84" t="s">
        <v>2528</v>
      </c>
      <c r="U170" s="61" t="s">
        <v>2528</v>
      </c>
      <c r="V170" s="84" t="s">
        <v>2528</v>
      </c>
      <c r="W170" s="61" t="s">
        <v>2528</v>
      </c>
      <c r="X170" s="45">
        <f t="shared" si="3"/>
        <v>14</v>
      </c>
    </row>
    <row r="171" spans="1:24" ht="30" x14ac:dyDescent="0.25">
      <c r="A171" s="56" t="s">
        <v>864</v>
      </c>
      <c r="B171" s="57" t="s">
        <v>880</v>
      </c>
      <c r="C171" s="47" t="s">
        <v>881</v>
      </c>
      <c r="D171" s="47" t="s">
        <v>882</v>
      </c>
      <c r="E171" s="47" t="s">
        <v>538</v>
      </c>
      <c r="F171" s="47" t="s">
        <v>538</v>
      </c>
      <c r="G171" s="61" t="s">
        <v>2528</v>
      </c>
      <c r="H171" s="62" t="s">
        <v>3646</v>
      </c>
      <c r="I171" s="58" t="s">
        <v>123</v>
      </c>
      <c r="J171" s="61" t="s">
        <v>2528</v>
      </c>
      <c r="K171" s="62" t="s">
        <v>3646</v>
      </c>
      <c r="L171" s="62" t="s">
        <v>3646</v>
      </c>
      <c r="M171" s="58" t="s">
        <v>123</v>
      </c>
      <c r="N171" s="58" t="s">
        <v>123</v>
      </c>
      <c r="O171" s="62" t="s">
        <v>3646</v>
      </c>
      <c r="P171" s="58" t="s">
        <v>123</v>
      </c>
      <c r="Q171" s="58" t="s">
        <v>123</v>
      </c>
      <c r="R171" s="58" t="s">
        <v>123</v>
      </c>
      <c r="S171" s="61" t="s">
        <v>2528</v>
      </c>
      <c r="T171" s="61" t="s">
        <v>123</v>
      </c>
      <c r="U171" s="58" t="s">
        <v>123</v>
      </c>
      <c r="V171" s="61" t="s">
        <v>123</v>
      </c>
      <c r="W171" s="58" t="s">
        <v>123</v>
      </c>
      <c r="X171" s="45">
        <f t="shared" si="3"/>
        <v>3</v>
      </c>
    </row>
    <row r="172" spans="1:24" ht="30" x14ac:dyDescent="0.25">
      <c r="A172" s="56" t="s">
        <v>864</v>
      </c>
      <c r="B172" s="57" t="s">
        <v>883</v>
      </c>
      <c r="C172" s="47" t="s">
        <v>884</v>
      </c>
      <c r="D172" s="47" t="s">
        <v>885</v>
      </c>
      <c r="E172" s="47" t="s">
        <v>538</v>
      </c>
      <c r="F172" s="47" t="s">
        <v>538</v>
      </c>
      <c r="G172" s="64" t="s">
        <v>3585</v>
      </c>
      <c r="H172" s="65" t="s">
        <v>3647</v>
      </c>
      <c r="I172" s="61" t="s">
        <v>2528</v>
      </c>
      <c r="J172" s="64" t="s">
        <v>3585</v>
      </c>
      <c r="K172" s="65" t="s">
        <v>3647</v>
      </c>
      <c r="L172" s="65" t="s">
        <v>3647</v>
      </c>
      <c r="M172" s="61" t="s">
        <v>2528</v>
      </c>
      <c r="N172" s="61" t="s">
        <v>2528</v>
      </c>
      <c r="O172" s="65" t="s">
        <v>3647</v>
      </c>
      <c r="P172" s="61" t="s">
        <v>2528</v>
      </c>
      <c r="Q172" s="61" t="s">
        <v>2528</v>
      </c>
      <c r="R172" s="61" t="s">
        <v>2528</v>
      </c>
      <c r="S172" s="64" t="s">
        <v>3585</v>
      </c>
      <c r="T172" s="84" t="s">
        <v>2528</v>
      </c>
      <c r="U172" s="61" t="s">
        <v>2528</v>
      </c>
      <c r="V172" s="84" t="s">
        <v>2528</v>
      </c>
      <c r="W172" s="61" t="s">
        <v>2528</v>
      </c>
      <c r="X172" s="45">
        <f t="shared" ref="X172:X203" si="4">COUNTIF(G172:W172,"*-Y")+COUNTIF(G172:W172,"S")+COUNTIF(G172:W172,"M")</f>
        <v>14</v>
      </c>
    </row>
    <row r="173" spans="1:24" x14ac:dyDescent="0.25">
      <c r="A173" s="56" t="s">
        <v>864</v>
      </c>
      <c r="B173" s="57" t="s">
        <v>886</v>
      </c>
      <c r="C173" s="47" t="s">
        <v>887</v>
      </c>
      <c r="D173" s="47" t="s">
        <v>888</v>
      </c>
      <c r="E173" s="47" t="s">
        <v>538</v>
      </c>
      <c r="F173" s="47" t="s">
        <v>538</v>
      </c>
      <c r="G173" s="61" t="s">
        <v>2528</v>
      </c>
      <c r="H173" s="61" t="s">
        <v>2528</v>
      </c>
      <c r="I173" s="61" t="s">
        <v>2528</v>
      </c>
      <c r="J173" s="61" t="s">
        <v>2528</v>
      </c>
      <c r="K173" s="61" t="s">
        <v>2528</v>
      </c>
      <c r="L173" s="61" t="s">
        <v>2528</v>
      </c>
      <c r="M173" s="61" t="s">
        <v>2528</v>
      </c>
      <c r="N173" s="61" t="s">
        <v>2528</v>
      </c>
      <c r="O173" s="61" t="s">
        <v>2528</v>
      </c>
      <c r="P173" s="61" t="s">
        <v>2528</v>
      </c>
      <c r="Q173" s="61" t="s">
        <v>2528</v>
      </c>
      <c r="R173" s="61" t="s">
        <v>2528</v>
      </c>
      <c r="S173" s="61" t="s">
        <v>2528</v>
      </c>
      <c r="T173" s="61" t="s">
        <v>2528</v>
      </c>
      <c r="U173" s="61" t="s">
        <v>2528</v>
      </c>
      <c r="V173" s="61" t="s">
        <v>2528</v>
      </c>
      <c r="W173" s="61" t="s">
        <v>2528</v>
      </c>
      <c r="X173" s="45">
        <f t="shared" si="4"/>
        <v>17</v>
      </c>
    </row>
    <row r="174" spans="1:24" ht="30" x14ac:dyDescent="0.25">
      <c r="A174" s="56" t="s">
        <v>864</v>
      </c>
      <c r="B174" s="57" t="s">
        <v>889</v>
      </c>
      <c r="C174" s="47" t="s">
        <v>890</v>
      </c>
      <c r="D174" s="47" t="s">
        <v>891</v>
      </c>
      <c r="E174" s="47" t="s">
        <v>538</v>
      </c>
      <c r="F174" s="47" t="s">
        <v>892</v>
      </c>
      <c r="G174" s="61" t="s">
        <v>2528</v>
      </c>
      <c r="H174" s="61" t="s">
        <v>2528</v>
      </c>
      <c r="I174" s="61" t="s">
        <v>2528</v>
      </c>
      <c r="J174" s="61" t="s">
        <v>2528</v>
      </c>
      <c r="K174" s="61" t="s">
        <v>2528</v>
      </c>
      <c r="L174" s="61" t="s">
        <v>2528</v>
      </c>
      <c r="M174" s="61" t="s">
        <v>2528</v>
      </c>
      <c r="N174" s="61" t="s">
        <v>2528</v>
      </c>
      <c r="O174" s="61" t="s">
        <v>2528</v>
      </c>
      <c r="P174" s="61" t="s">
        <v>2528</v>
      </c>
      <c r="Q174" s="61" t="s">
        <v>2528</v>
      </c>
      <c r="R174" s="61" t="s">
        <v>2528</v>
      </c>
      <c r="S174" s="61" t="s">
        <v>2528</v>
      </c>
      <c r="T174" s="61" t="s">
        <v>2528</v>
      </c>
      <c r="U174" s="61" t="s">
        <v>2528</v>
      </c>
      <c r="V174" s="61" t="s">
        <v>2528</v>
      </c>
      <c r="W174" s="61" t="s">
        <v>2528</v>
      </c>
      <c r="X174" s="45">
        <f t="shared" si="4"/>
        <v>17</v>
      </c>
    </row>
    <row r="175" spans="1:24" ht="30" x14ac:dyDescent="0.25">
      <c r="A175" s="56" t="s">
        <v>864</v>
      </c>
      <c r="B175" s="57" t="s">
        <v>893</v>
      </c>
      <c r="C175" s="47" t="s">
        <v>894</v>
      </c>
      <c r="D175" s="47" t="s">
        <v>895</v>
      </c>
      <c r="E175" s="47" t="s">
        <v>538</v>
      </c>
      <c r="F175" s="47" t="s">
        <v>896</v>
      </c>
      <c r="G175" s="64" t="s">
        <v>3585</v>
      </c>
      <c r="H175" s="61" t="s">
        <v>2528</v>
      </c>
      <c r="I175" s="61" t="s">
        <v>2528</v>
      </c>
      <c r="J175" s="61" t="s">
        <v>2528</v>
      </c>
      <c r="K175" s="61" t="s">
        <v>2528</v>
      </c>
      <c r="L175" s="61" t="s">
        <v>2528</v>
      </c>
      <c r="M175" s="61" t="s">
        <v>2528</v>
      </c>
      <c r="N175" s="61" t="s">
        <v>2528</v>
      </c>
      <c r="O175" s="61" t="s">
        <v>2528</v>
      </c>
      <c r="P175" s="61" t="s">
        <v>2528</v>
      </c>
      <c r="Q175" s="61" t="s">
        <v>2528</v>
      </c>
      <c r="R175" s="61" t="s">
        <v>2528</v>
      </c>
      <c r="S175" s="64" t="s">
        <v>3585</v>
      </c>
      <c r="T175" s="84" t="s">
        <v>2528</v>
      </c>
      <c r="U175" s="61" t="s">
        <v>2528</v>
      </c>
      <c r="V175" s="84" t="s">
        <v>2528</v>
      </c>
      <c r="W175" s="61" t="s">
        <v>2528</v>
      </c>
      <c r="X175" s="45">
        <f t="shared" si="4"/>
        <v>15</v>
      </c>
    </row>
    <row r="176" spans="1:24" ht="30" x14ac:dyDescent="0.25">
      <c r="A176" s="56" t="s">
        <v>864</v>
      </c>
      <c r="B176" s="57" t="s">
        <v>897</v>
      </c>
      <c r="C176" s="47" t="s">
        <v>898</v>
      </c>
      <c r="D176" s="47" t="s">
        <v>899</v>
      </c>
      <c r="E176" s="47" t="s">
        <v>538</v>
      </c>
      <c r="F176" s="47" t="s">
        <v>538</v>
      </c>
      <c r="G176" s="61" t="s">
        <v>2528</v>
      </c>
      <c r="H176" s="61" t="s">
        <v>2528</v>
      </c>
      <c r="I176" s="61" t="s">
        <v>2528</v>
      </c>
      <c r="J176" s="61" t="s">
        <v>2528</v>
      </c>
      <c r="K176" s="61" t="s">
        <v>2528</v>
      </c>
      <c r="L176" s="61" t="s">
        <v>2528</v>
      </c>
      <c r="M176" s="61" t="s">
        <v>2528</v>
      </c>
      <c r="N176" s="61" t="s">
        <v>2528</v>
      </c>
      <c r="O176" s="61" t="s">
        <v>2528</v>
      </c>
      <c r="P176" s="61" t="s">
        <v>2528</v>
      </c>
      <c r="Q176" s="61" t="s">
        <v>2528</v>
      </c>
      <c r="R176" s="61" t="s">
        <v>2528</v>
      </c>
      <c r="S176" s="61" t="s">
        <v>2528</v>
      </c>
      <c r="T176" s="61" t="s">
        <v>2528</v>
      </c>
      <c r="U176" s="61" t="s">
        <v>2528</v>
      </c>
      <c r="V176" s="61" t="s">
        <v>2528</v>
      </c>
      <c r="W176" s="61" t="s">
        <v>2528</v>
      </c>
      <c r="X176" s="45">
        <f t="shared" si="4"/>
        <v>17</v>
      </c>
    </row>
    <row r="177" spans="1:24" x14ac:dyDescent="0.25">
      <c r="A177" s="56" t="s">
        <v>864</v>
      </c>
      <c r="B177" s="57" t="s">
        <v>900</v>
      </c>
      <c r="C177" s="47" t="s">
        <v>901</v>
      </c>
      <c r="D177" s="47" t="s">
        <v>902</v>
      </c>
      <c r="E177" s="47" t="s">
        <v>538</v>
      </c>
      <c r="F177" s="47" t="s">
        <v>538</v>
      </c>
      <c r="G177" s="64" t="s">
        <v>3585</v>
      </c>
      <c r="H177" s="65" t="s">
        <v>3647</v>
      </c>
      <c r="I177" s="61" t="s">
        <v>2528</v>
      </c>
      <c r="J177" s="64" t="s">
        <v>3585</v>
      </c>
      <c r="K177" s="65" t="s">
        <v>3647</v>
      </c>
      <c r="L177" s="65" t="s">
        <v>3647</v>
      </c>
      <c r="M177" s="61" t="s">
        <v>2528</v>
      </c>
      <c r="N177" s="61" t="s">
        <v>2528</v>
      </c>
      <c r="O177" s="65" t="s">
        <v>3647</v>
      </c>
      <c r="P177" s="61" t="s">
        <v>2528</v>
      </c>
      <c r="Q177" s="61" t="s">
        <v>2528</v>
      </c>
      <c r="R177" s="61" t="s">
        <v>2528</v>
      </c>
      <c r="S177" s="64" t="s">
        <v>3585</v>
      </c>
      <c r="T177" s="84" t="s">
        <v>2528</v>
      </c>
      <c r="U177" s="61" t="s">
        <v>2528</v>
      </c>
      <c r="V177" s="84" t="s">
        <v>2528</v>
      </c>
      <c r="W177" s="61" t="s">
        <v>2528</v>
      </c>
      <c r="X177" s="45">
        <f t="shared" si="4"/>
        <v>14</v>
      </c>
    </row>
    <row r="178" spans="1:24" ht="30" x14ac:dyDescent="0.25">
      <c r="A178" s="56" t="s">
        <v>864</v>
      </c>
      <c r="B178" s="57" t="s">
        <v>903</v>
      </c>
      <c r="C178" s="47" t="s">
        <v>904</v>
      </c>
      <c r="D178" s="47" t="s">
        <v>905</v>
      </c>
      <c r="E178" s="47" t="s">
        <v>538</v>
      </c>
      <c r="F178" s="47" t="s">
        <v>906</v>
      </c>
      <c r="G178" s="64" t="s">
        <v>3585</v>
      </c>
      <c r="H178" s="65" t="s">
        <v>3647</v>
      </c>
      <c r="I178" s="61" t="s">
        <v>2528</v>
      </c>
      <c r="J178" s="64" t="s">
        <v>3585</v>
      </c>
      <c r="K178" s="65" t="s">
        <v>3647</v>
      </c>
      <c r="L178" s="65" t="s">
        <v>3647</v>
      </c>
      <c r="M178" s="61" t="s">
        <v>2528</v>
      </c>
      <c r="N178" s="61" t="s">
        <v>2528</v>
      </c>
      <c r="O178" s="65" t="s">
        <v>3647</v>
      </c>
      <c r="P178" s="61" t="s">
        <v>2528</v>
      </c>
      <c r="Q178" s="61" t="s">
        <v>2528</v>
      </c>
      <c r="R178" s="61" t="s">
        <v>2528</v>
      </c>
      <c r="S178" s="64" t="s">
        <v>3585</v>
      </c>
      <c r="T178" s="84" t="s">
        <v>2528</v>
      </c>
      <c r="U178" s="61" t="s">
        <v>2528</v>
      </c>
      <c r="V178" s="84" t="s">
        <v>2528</v>
      </c>
      <c r="W178" s="61" t="s">
        <v>2528</v>
      </c>
      <c r="X178" s="45">
        <f t="shared" si="4"/>
        <v>14</v>
      </c>
    </row>
    <row r="179" spans="1:24" ht="30" x14ac:dyDescent="0.25">
      <c r="A179" s="56" t="s">
        <v>864</v>
      </c>
      <c r="B179" s="57" t="s">
        <v>907</v>
      </c>
      <c r="C179" s="47" t="s">
        <v>908</v>
      </c>
      <c r="D179" s="47" t="s">
        <v>909</v>
      </c>
      <c r="E179" s="47" t="s">
        <v>910</v>
      </c>
      <c r="F179" s="47" t="s">
        <v>538</v>
      </c>
      <c r="G179" s="65" t="s">
        <v>3647</v>
      </c>
      <c r="H179" s="61" t="s">
        <v>2528</v>
      </c>
      <c r="I179" s="61" t="s">
        <v>2528</v>
      </c>
      <c r="J179" s="61" t="s">
        <v>2528</v>
      </c>
      <c r="K179" s="61" t="s">
        <v>2528</v>
      </c>
      <c r="L179" s="61" t="s">
        <v>2528</v>
      </c>
      <c r="M179" s="61" t="s">
        <v>2528</v>
      </c>
      <c r="N179" s="61" t="s">
        <v>2528</v>
      </c>
      <c r="O179" s="61" t="s">
        <v>2528</v>
      </c>
      <c r="P179" s="61" t="s">
        <v>2528</v>
      </c>
      <c r="Q179" s="61" t="s">
        <v>2528</v>
      </c>
      <c r="R179" s="61" t="s">
        <v>2528</v>
      </c>
      <c r="S179" s="65" t="s">
        <v>3647</v>
      </c>
      <c r="T179" s="61" t="s">
        <v>2528</v>
      </c>
      <c r="U179" s="61" t="s">
        <v>2528</v>
      </c>
      <c r="V179" s="61" t="s">
        <v>2528</v>
      </c>
      <c r="W179" s="61" t="s">
        <v>2528</v>
      </c>
      <c r="X179" s="45">
        <f t="shared" si="4"/>
        <v>17</v>
      </c>
    </row>
    <row r="180" spans="1:24" x14ac:dyDescent="0.25">
      <c r="A180" s="41" t="s">
        <v>911</v>
      </c>
      <c r="B180" s="53"/>
      <c r="C180" s="54"/>
      <c r="D180" s="54"/>
      <c r="E180" s="54"/>
      <c r="F180" s="54"/>
      <c r="G180" s="55"/>
      <c r="H180" s="55"/>
      <c r="I180" s="55"/>
      <c r="J180" s="55"/>
      <c r="K180" s="55"/>
      <c r="L180" s="55"/>
      <c r="M180" s="55"/>
      <c r="N180" s="55"/>
      <c r="O180" s="55"/>
      <c r="P180" s="55"/>
      <c r="Q180" s="55"/>
      <c r="R180" s="55"/>
      <c r="S180" s="55"/>
      <c r="T180" s="55"/>
      <c r="U180" s="55"/>
      <c r="V180" s="55"/>
      <c r="W180" s="55"/>
      <c r="X180" s="45">
        <f t="shared" si="4"/>
        <v>0</v>
      </c>
    </row>
    <row r="181" spans="1:24" x14ac:dyDescent="0.25">
      <c r="A181" s="42" t="s">
        <v>912</v>
      </c>
      <c r="B181" s="90" t="s">
        <v>913</v>
      </c>
      <c r="C181" s="43"/>
      <c r="D181" s="43"/>
      <c r="E181" s="43" t="s">
        <v>538</v>
      </c>
      <c r="F181" s="43" t="s">
        <v>538</v>
      </c>
      <c r="G181" s="66" t="s">
        <v>3644</v>
      </c>
      <c r="H181" s="67" t="s">
        <v>3645</v>
      </c>
      <c r="I181" s="59" t="s">
        <v>123</v>
      </c>
      <c r="J181" s="66" t="s">
        <v>3644</v>
      </c>
      <c r="K181" s="67" t="s">
        <v>3645</v>
      </c>
      <c r="L181" s="67" t="s">
        <v>3645</v>
      </c>
      <c r="M181" s="59" t="s">
        <v>123</v>
      </c>
      <c r="N181" s="59" t="s">
        <v>123</v>
      </c>
      <c r="O181" s="67" t="s">
        <v>3645</v>
      </c>
      <c r="P181" s="59" t="s">
        <v>123</v>
      </c>
      <c r="Q181" s="59" t="s">
        <v>123</v>
      </c>
      <c r="R181" s="59" t="s">
        <v>123</v>
      </c>
      <c r="S181" s="66" t="s">
        <v>3644</v>
      </c>
      <c r="T181" s="66" t="s">
        <v>123</v>
      </c>
      <c r="U181" s="59" t="s">
        <v>123</v>
      </c>
      <c r="V181" s="66" t="s">
        <v>123</v>
      </c>
      <c r="W181" s="59" t="s">
        <v>123</v>
      </c>
      <c r="X181" s="45">
        <f t="shared" si="4"/>
        <v>4</v>
      </c>
    </row>
    <row r="182" spans="1:24" x14ac:dyDescent="0.25">
      <c r="A182" s="56" t="s">
        <v>914</v>
      </c>
      <c r="B182" s="57" t="s">
        <v>868</v>
      </c>
      <c r="C182" s="47" t="s">
        <v>869</v>
      </c>
      <c r="D182" s="47" t="s">
        <v>869</v>
      </c>
      <c r="E182" s="47" t="s">
        <v>538</v>
      </c>
      <c r="F182" s="47" t="s">
        <v>538</v>
      </c>
      <c r="G182" s="64" t="s">
        <v>3585</v>
      </c>
      <c r="H182" s="65" t="s">
        <v>3647</v>
      </c>
      <c r="I182" s="58" t="s">
        <v>123</v>
      </c>
      <c r="J182" s="64" t="s">
        <v>3585</v>
      </c>
      <c r="K182" s="65" t="s">
        <v>3647</v>
      </c>
      <c r="L182" s="65" t="s">
        <v>3647</v>
      </c>
      <c r="M182" s="58" t="s">
        <v>123</v>
      </c>
      <c r="N182" s="58" t="s">
        <v>123</v>
      </c>
      <c r="O182" s="65" t="s">
        <v>3647</v>
      </c>
      <c r="P182" s="58" t="s">
        <v>123</v>
      </c>
      <c r="Q182" s="58" t="s">
        <v>123</v>
      </c>
      <c r="R182" s="58" t="s">
        <v>123</v>
      </c>
      <c r="S182" s="64" t="s">
        <v>3585</v>
      </c>
      <c r="T182" s="64" t="s">
        <v>123</v>
      </c>
      <c r="U182" s="58" t="s">
        <v>123</v>
      </c>
      <c r="V182" s="64" t="s">
        <v>123</v>
      </c>
      <c r="W182" s="58" t="s">
        <v>123</v>
      </c>
      <c r="X182" s="45">
        <f t="shared" si="4"/>
        <v>4</v>
      </c>
    </row>
    <row r="183" spans="1:24" x14ac:dyDescent="0.25">
      <c r="A183" s="56" t="s">
        <v>914</v>
      </c>
      <c r="B183" s="57" t="s">
        <v>876</v>
      </c>
      <c r="C183" s="47" t="s">
        <v>877</v>
      </c>
      <c r="D183" s="47" t="s">
        <v>878</v>
      </c>
      <c r="E183" s="47" t="s">
        <v>538</v>
      </c>
      <c r="F183" s="47" t="s">
        <v>879</v>
      </c>
      <c r="G183" s="64" t="s">
        <v>3585</v>
      </c>
      <c r="H183" s="65" t="s">
        <v>3647</v>
      </c>
      <c r="I183" s="58" t="s">
        <v>123</v>
      </c>
      <c r="J183" s="64" t="s">
        <v>3585</v>
      </c>
      <c r="K183" s="65" t="s">
        <v>3647</v>
      </c>
      <c r="L183" s="65" t="s">
        <v>3647</v>
      </c>
      <c r="M183" s="58" t="s">
        <v>123</v>
      </c>
      <c r="N183" s="58" t="s">
        <v>123</v>
      </c>
      <c r="O183" s="65" t="s">
        <v>3647</v>
      </c>
      <c r="P183" s="58" t="s">
        <v>123</v>
      </c>
      <c r="Q183" s="58" t="s">
        <v>123</v>
      </c>
      <c r="R183" s="58" t="s">
        <v>123</v>
      </c>
      <c r="S183" s="64" t="s">
        <v>3585</v>
      </c>
      <c r="T183" s="64" t="s">
        <v>123</v>
      </c>
      <c r="U183" s="58" t="s">
        <v>123</v>
      </c>
      <c r="V183" s="64" t="s">
        <v>123</v>
      </c>
      <c r="W183" s="58" t="s">
        <v>123</v>
      </c>
      <c r="X183" s="45">
        <f t="shared" si="4"/>
        <v>4</v>
      </c>
    </row>
    <row r="184" spans="1:24" ht="30" x14ac:dyDescent="0.25">
      <c r="A184" s="56" t="s">
        <v>914</v>
      </c>
      <c r="B184" s="57" t="s">
        <v>883</v>
      </c>
      <c r="C184" s="47" t="s">
        <v>884</v>
      </c>
      <c r="D184" s="47" t="s">
        <v>885</v>
      </c>
      <c r="E184" s="47" t="s">
        <v>538</v>
      </c>
      <c r="F184" s="47" t="s">
        <v>538</v>
      </c>
      <c r="G184" s="64" t="s">
        <v>3585</v>
      </c>
      <c r="H184" s="65" t="s">
        <v>3647</v>
      </c>
      <c r="I184" s="58" t="s">
        <v>123</v>
      </c>
      <c r="J184" s="64" t="s">
        <v>3585</v>
      </c>
      <c r="K184" s="65" t="s">
        <v>3647</v>
      </c>
      <c r="L184" s="65" t="s">
        <v>3647</v>
      </c>
      <c r="M184" s="58" t="s">
        <v>123</v>
      </c>
      <c r="N184" s="58" t="s">
        <v>123</v>
      </c>
      <c r="O184" s="65" t="s">
        <v>3647</v>
      </c>
      <c r="P184" s="58" t="s">
        <v>123</v>
      </c>
      <c r="Q184" s="58" t="s">
        <v>123</v>
      </c>
      <c r="R184" s="58" t="s">
        <v>123</v>
      </c>
      <c r="S184" s="64" t="s">
        <v>3585</v>
      </c>
      <c r="T184" s="64" t="s">
        <v>123</v>
      </c>
      <c r="U184" s="58" t="s">
        <v>123</v>
      </c>
      <c r="V184" s="64" t="s">
        <v>123</v>
      </c>
      <c r="W184" s="58" t="s">
        <v>123</v>
      </c>
      <c r="X184" s="45">
        <f t="shared" si="4"/>
        <v>4</v>
      </c>
    </row>
    <row r="185" spans="1:24" x14ac:dyDescent="0.25">
      <c r="A185" s="56" t="s">
        <v>914</v>
      </c>
      <c r="B185" s="57" t="s">
        <v>900</v>
      </c>
      <c r="C185" s="47" t="s">
        <v>901</v>
      </c>
      <c r="D185" s="47" t="s">
        <v>902</v>
      </c>
      <c r="E185" s="47" t="s">
        <v>538</v>
      </c>
      <c r="F185" s="47" t="s">
        <v>538</v>
      </c>
      <c r="G185" s="64" t="s">
        <v>3585</v>
      </c>
      <c r="H185" s="65" t="s">
        <v>3647</v>
      </c>
      <c r="I185" s="58" t="s">
        <v>123</v>
      </c>
      <c r="J185" s="64" t="s">
        <v>3585</v>
      </c>
      <c r="K185" s="65" t="s">
        <v>3647</v>
      </c>
      <c r="L185" s="65" t="s">
        <v>3647</v>
      </c>
      <c r="M185" s="58" t="s">
        <v>123</v>
      </c>
      <c r="N185" s="58" t="s">
        <v>123</v>
      </c>
      <c r="O185" s="65" t="s">
        <v>3647</v>
      </c>
      <c r="P185" s="58" t="s">
        <v>123</v>
      </c>
      <c r="Q185" s="58" t="s">
        <v>123</v>
      </c>
      <c r="R185" s="58" t="s">
        <v>123</v>
      </c>
      <c r="S185" s="64" t="s">
        <v>3585</v>
      </c>
      <c r="T185" s="64" t="s">
        <v>123</v>
      </c>
      <c r="U185" s="58" t="s">
        <v>123</v>
      </c>
      <c r="V185" s="64" t="s">
        <v>123</v>
      </c>
      <c r="W185" s="58" t="s">
        <v>123</v>
      </c>
      <c r="X185" s="45">
        <f t="shared" si="4"/>
        <v>4</v>
      </c>
    </row>
    <row r="186" spans="1:24" ht="30" x14ac:dyDescent="0.25">
      <c r="A186" s="56" t="s">
        <v>914</v>
      </c>
      <c r="B186" s="57" t="s">
        <v>903</v>
      </c>
      <c r="C186" s="47" t="s">
        <v>904</v>
      </c>
      <c r="D186" s="47" t="s">
        <v>905</v>
      </c>
      <c r="E186" s="47" t="s">
        <v>538</v>
      </c>
      <c r="F186" s="47" t="s">
        <v>906</v>
      </c>
      <c r="G186" s="64" t="s">
        <v>3585</v>
      </c>
      <c r="H186" s="65" t="s">
        <v>3647</v>
      </c>
      <c r="I186" s="58" t="s">
        <v>123</v>
      </c>
      <c r="J186" s="64" t="s">
        <v>3585</v>
      </c>
      <c r="K186" s="65" t="s">
        <v>3647</v>
      </c>
      <c r="L186" s="65" t="s">
        <v>3647</v>
      </c>
      <c r="M186" s="58" t="s">
        <v>123</v>
      </c>
      <c r="N186" s="58" t="s">
        <v>123</v>
      </c>
      <c r="O186" s="65" t="s">
        <v>3647</v>
      </c>
      <c r="P186" s="58" t="s">
        <v>123</v>
      </c>
      <c r="Q186" s="58" t="s">
        <v>123</v>
      </c>
      <c r="R186" s="58" t="s">
        <v>123</v>
      </c>
      <c r="S186" s="64" t="s">
        <v>3585</v>
      </c>
      <c r="T186" s="64" t="s">
        <v>123</v>
      </c>
      <c r="U186" s="58" t="s">
        <v>123</v>
      </c>
      <c r="V186" s="64" t="s">
        <v>123</v>
      </c>
      <c r="W186" s="58" t="s">
        <v>123</v>
      </c>
      <c r="X186" s="45">
        <f t="shared" si="4"/>
        <v>4</v>
      </c>
    </row>
    <row r="187" spans="1:24" x14ac:dyDescent="0.25">
      <c r="A187" s="42" t="s">
        <v>915</v>
      </c>
      <c r="B187" s="90" t="s">
        <v>916</v>
      </c>
      <c r="C187" s="43"/>
      <c r="D187" s="43"/>
      <c r="E187" s="43" t="s">
        <v>538</v>
      </c>
      <c r="F187" s="43" t="s">
        <v>538</v>
      </c>
      <c r="G187" s="66" t="s">
        <v>3644</v>
      </c>
      <c r="H187" s="59" t="s">
        <v>123</v>
      </c>
      <c r="I187" s="59" t="s">
        <v>123</v>
      </c>
      <c r="J187" s="59" t="s">
        <v>123</v>
      </c>
      <c r="K187" s="59" t="s">
        <v>123</v>
      </c>
      <c r="L187" s="59" t="s">
        <v>123</v>
      </c>
      <c r="M187" s="59" t="s">
        <v>123</v>
      </c>
      <c r="N187" s="59" t="s">
        <v>123</v>
      </c>
      <c r="O187" s="59" t="s">
        <v>123</v>
      </c>
      <c r="P187" s="59" t="s">
        <v>123</v>
      </c>
      <c r="Q187" s="59" t="s">
        <v>123</v>
      </c>
      <c r="R187" s="59" t="s">
        <v>123</v>
      </c>
      <c r="S187" s="66" t="s">
        <v>3644</v>
      </c>
      <c r="T187" s="66" t="s">
        <v>123</v>
      </c>
      <c r="U187" s="59" t="s">
        <v>123</v>
      </c>
      <c r="V187" s="66" t="s">
        <v>123</v>
      </c>
      <c r="W187" s="59" t="s">
        <v>123</v>
      </c>
      <c r="X187" s="45">
        <f t="shared" si="4"/>
        <v>0</v>
      </c>
    </row>
    <row r="188" spans="1:24" ht="30" x14ac:dyDescent="0.25">
      <c r="A188" s="56" t="s">
        <v>917</v>
      </c>
      <c r="B188" s="57" t="s">
        <v>873</v>
      </c>
      <c r="C188" s="47" t="s">
        <v>874</v>
      </c>
      <c r="D188" s="47" t="s">
        <v>874</v>
      </c>
      <c r="E188" s="47" t="s">
        <v>538</v>
      </c>
      <c r="F188" s="47" t="s">
        <v>875</v>
      </c>
      <c r="G188" s="64" t="s">
        <v>3585</v>
      </c>
      <c r="H188" s="58" t="s">
        <v>123</v>
      </c>
      <c r="I188" s="58" t="s">
        <v>123</v>
      </c>
      <c r="J188" s="58" t="s">
        <v>123</v>
      </c>
      <c r="K188" s="58" t="s">
        <v>123</v>
      </c>
      <c r="L188" s="58" t="s">
        <v>123</v>
      </c>
      <c r="M188" s="58" t="s">
        <v>123</v>
      </c>
      <c r="N188" s="58" t="s">
        <v>123</v>
      </c>
      <c r="O188" s="58" t="s">
        <v>123</v>
      </c>
      <c r="P188" s="58" t="s">
        <v>123</v>
      </c>
      <c r="Q188" s="58" t="s">
        <v>123</v>
      </c>
      <c r="R188" s="58" t="s">
        <v>123</v>
      </c>
      <c r="S188" s="64" t="s">
        <v>3585</v>
      </c>
      <c r="T188" s="64" t="s">
        <v>123</v>
      </c>
      <c r="U188" s="58" t="s">
        <v>123</v>
      </c>
      <c r="V188" s="64" t="s">
        <v>123</v>
      </c>
      <c r="W188" s="58" t="s">
        <v>123</v>
      </c>
      <c r="X188" s="45">
        <f t="shared" si="4"/>
        <v>0</v>
      </c>
    </row>
    <row r="189" spans="1:24" ht="30" x14ac:dyDescent="0.25">
      <c r="A189" s="56" t="s">
        <v>917</v>
      </c>
      <c r="B189" s="57" t="s">
        <v>893</v>
      </c>
      <c r="C189" s="47" t="s">
        <v>894</v>
      </c>
      <c r="D189" s="47" t="s">
        <v>895</v>
      </c>
      <c r="E189" s="47" t="s">
        <v>538</v>
      </c>
      <c r="F189" s="47" t="s">
        <v>896</v>
      </c>
      <c r="G189" s="64" t="s">
        <v>3585</v>
      </c>
      <c r="H189" s="58" t="s">
        <v>123</v>
      </c>
      <c r="I189" s="58" t="s">
        <v>123</v>
      </c>
      <c r="J189" s="58" t="s">
        <v>123</v>
      </c>
      <c r="K189" s="58" t="s">
        <v>123</v>
      </c>
      <c r="L189" s="58" t="s">
        <v>123</v>
      </c>
      <c r="M189" s="58" t="s">
        <v>123</v>
      </c>
      <c r="N189" s="58" t="s">
        <v>123</v>
      </c>
      <c r="O189" s="58" t="s">
        <v>123</v>
      </c>
      <c r="P189" s="58" t="s">
        <v>123</v>
      </c>
      <c r="Q189" s="58" t="s">
        <v>123</v>
      </c>
      <c r="R189" s="58" t="s">
        <v>123</v>
      </c>
      <c r="S189" s="64" t="s">
        <v>3585</v>
      </c>
      <c r="T189" s="64" t="s">
        <v>123</v>
      </c>
      <c r="U189" s="58" t="s">
        <v>123</v>
      </c>
      <c r="V189" s="64" t="s">
        <v>123</v>
      </c>
      <c r="W189" s="58" t="s">
        <v>123</v>
      </c>
      <c r="X189" s="45">
        <f t="shared" si="4"/>
        <v>0</v>
      </c>
    </row>
    <row r="190" spans="1:24" x14ac:dyDescent="0.25">
      <c r="A190" s="42" t="s">
        <v>918</v>
      </c>
      <c r="B190" s="90" t="s">
        <v>919</v>
      </c>
      <c r="C190" s="43"/>
      <c r="D190" s="43"/>
      <c r="E190" s="43" t="s">
        <v>538</v>
      </c>
      <c r="F190" s="43" t="s">
        <v>538</v>
      </c>
      <c r="G190" s="67" t="s">
        <v>3645</v>
      </c>
      <c r="H190" s="59" t="s">
        <v>123</v>
      </c>
      <c r="I190" s="59" t="s">
        <v>123</v>
      </c>
      <c r="J190" s="59" t="s">
        <v>123</v>
      </c>
      <c r="K190" s="59" t="s">
        <v>123</v>
      </c>
      <c r="L190" s="59" t="s">
        <v>123</v>
      </c>
      <c r="M190" s="59" t="s">
        <v>123</v>
      </c>
      <c r="N190" s="59" t="s">
        <v>123</v>
      </c>
      <c r="O190" s="59" t="s">
        <v>123</v>
      </c>
      <c r="P190" s="59" t="s">
        <v>123</v>
      </c>
      <c r="Q190" s="59" t="s">
        <v>123</v>
      </c>
      <c r="R190" s="59" t="s">
        <v>123</v>
      </c>
      <c r="S190" s="67" t="s">
        <v>3645</v>
      </c>
      <c r="T190" s="67" t="s">
        <v>123</v>
      </c>
      <c r="U190" s="59" t="s">
        <v>123</v>
      </c>
      <c r="V190" s="67" t="s">
        <v>123</v>
      </c>
      <c r="W190" s="59" t="s">
        <v>123</v>
      </c>
      <c r="X190" s="45">
        <f t="shared" si="4"/>
        <v>2</v>
      </c>
    </row>
    <row r="191" spans="1:24" ht="30" x14ac:dyDescent="0.25">
      <c r="A191" s="56" t="s">
        <v>920</v>
      </c>
      <c r="B191" s="57" t="s">
        <v>824</v>
      </c>
      <c r="C191" s="47" t="s">
        <v>825</v>
      </c>
      <c r="D191" s="47" t="s">
        <v>825</v>
      </c>
      <c r="E191" s="47" t="s">
        <v>820</v>
      </c>
      <c r="F191" s="47" t="s">
        <v>538</v>
      </c>
      <c r="G191" s="65" t="s">
        <v>3647</v>
      </c>
      <c r="H191" s="58" t="s">
        <v>123</v>
      </c>
      <c r="I191" s="58" t="s">
        <v>123</v>
      </c>
      <c r="J191" s="58" t="s">
        <v>123</v>
      </c>
      <c r="K191" s="58" t="s">
        <v>123</v>
      </c>
      <c r="L191" s="58" t="s">
        <v>123</v>
      </c>
      <c r="M191" s="58" t="s">
        <v>123</v>
      </c>
      <c r="N191" s="58" t="s">
        <v>123</v>
      </c>
      <c r="O191" s="58" t="s">
        <v>123</v>
      </c>
      <c r="P191" s="58" t="s">
        <v>123</v>
      </c>
      <c r="Q191" s="58" t="s">
        <v>123</v>
      </c>
      <c r="R191" s="58" t="s">
        <v>123</v>
      </c>
      <c r="S191" s="65" t="s">
        <v>3647</v>
      </c>
      <c r="T191" s="65" t="s">
        <v>123</v>
      </c>
      <c r="U191" s="58" t="s">
        <v>123</v>
      </c>
      <c r="V191" s="65" t="s">
        <v>123</v>
      </c>
      <c r="W191" s="58" t="s">
        <v>123</v>
      </c>
      <c r="X191" s="45">
        <f t="shared" si="4"/>
        <v>2</v>
      </c>
    </row>
    <row r="192" spans="1:24" ht="45" x14ac:dyDescent="0.25">
      <c r="A192" s="56" t="s">
        <v>920</v>
      </c>
      <c r="B192" s="57" t="s">
        <v>828</v>
      </c>
      <c r="C192" s="47" t="s">
        <v>829</v>
      </c>
      <c r="D192" s="47" t="s">
        <v>829</v>
      </c>
      <c r="E192" s="47" t="s">
        <v>830</v>
      </c>
      <c r="F192" s="47" t="s">
        <v>538</v>
      </c>
      <c r="G192" s="65" t="s">
        <v>3647</v>
      </c>
      <c r="H192" s="58" t="s">
        <v>123</v>
      </c>
      <c r="I192" s="58" t="s">
        <v>123</v>
      </c>
      <c r="J192" s="58" t="s">
        <v>123</v>
      </c>
      <c r="K192" s="58" t="s">
        <v>123</v>
      </c>
      <c r="L192" s="58" t="s">
        <v>123</v>
      </c>
      <c r="M192" s="58" t="s">
        <v>123</v>
      </c>
      <c r="N192" s="58" t="s">
        <v>123</v>
      </c>
      <c r="O192" s="58" t="s">
        <v>123</v>
      </c>
      <c r="P192" s="58" t="s">
        <v>123</v>
      </c>
      <c r="Q192" s="58" t="s">
        <v>123</v>
      </c>
      <c r="R192" s="58" t="s">
        <v>123</v>
      </c>
      <c r="S192" s="65" t="s">
        <v>3647</v>
      </c>
      <c r="T192" s="65" t="s">
        <v>123</v>
      </c>
      <c r="U192" s="58" t="s">
        <v>123</v>
      </c>
      <c r="V192" s="65" t="s">
        <v>123</v>
      </c>
      <c r="W192" s="58" t="s">
        <v>123</v>
      </c>
      <c r="X192" s="45">
        <f t="shared" si="4"/>
        <v>2</v>
      </c>
    </row>
    <row r="193" spans="1:25" ht="30" x14ac:dyDescent="0.25">
      <c r="A193" s="56" t="s">
        <v>920</v>
      </c>
      <c r="B193" s="57" t="s">
        <v>907</v>
      </c>
      <c r="C193" s="47" t="s">
        <v>908</v>
      </c>
      <c r="D193" s="47" t="s">
        <v>909</v>
      </c>
      <c r="E193" s="47" t="s">
        <v>910</v>
      </c>
      <c r="F193" s="47" t="s">
        <v>538</v>
      </c>
      <c r="G193" s="65" t="s">
        <v>3647</v>
      </c>
      <c r="H193" s="58" t="s">
        <v>123</v>
      </c>
      <c r="I193" s="58" t="s">
        <v>123</v>
      </c>
      <c r="J193" s="58" t="s">
        <v>123</v>
      </c>
      <c r="K193" s="58" t="s">
        <v>123</v>
      </c>
      <c r="L193" s="58" t="s">
        <v>123</v>
      </c>
      <c r="M193" s="58" t="s">
        <v>123</v>
      </c>
      <c r="N193" s="58" t="s">
        <v>123</v>
      </c>
      <c r="O193" s="58" t="s">
        <v>123</v>
      </c>
      <c r="P193" s="58" t="s">
        <v>123</v>
      </c>
      <c r="Q193" s="58" t="s">
        <v>123</v>
      </c>
      <c r="R193" s="58" t="s">
        <v>123</v>
      </c>
      <c r="S193" s="65" t="s">
        <v>3647</v>
      </c>
      <c r="T193" s="65" t="s">
        <v>123</v>
      </c>
      <c r="U193" s="58" t="s">
        <v>123</v>
      </c>
      <c r="V193" s="65" t="s">
        <v>123</v>
      </c>
      <c r="W193" s="58" t="s">
        <v>123</v>
      </c>
      <c r="X193" s="45">
        <f t="shared" si="4"/>
        <v>2</v>
      </c>
    </row>
    <row r="194" spans="1:25" x14ac:dyDescent="0.25">
      <c r="A194" s="42" t="s">
        <v>921</v>
      </c>
      <c r="B194" s="90" t="s">
        <v>922</v>
      </c>
      <c r="C194" s="43"/>
      <c r="D194" s="43"/>
      <c r="E194" s="43" t="s">
        <v>538</v>
      </c>
      <c r="F194" s="43" t="s">
        <v>538</v>
      </c>
      <c r="G194" s="66" t="s">
        <v>3644</v>
      </c>
      <c r="H194" s="66" t="s">
        <v>3644</v>
      </c>
      <c r="I194" s="66" t="s">
        <v>3644</v>
      </c>
      <c r="J194" s="66" t="s">
        <v>3644</v>
      </c>
      <c r="K194" s="67" t="s">
        <v>3645</v>
      </c>
      <c r="L194" s="67" t="s">
        <v>3645</v>
      </c>
      <c r="M194" s="59" t="s">
        <v>123</v>
      </c>
      <c r="N194" s="59" t="s">
        <v>123</v>
      </c>
      <c r="O194" s="67" t="s">
        <v>3645</v>
      </c>
      <c r="P194" s="59" t="s">
        <v>123</v>
      </c>
      <c r="Q194" s="59" t="s">
        <v>123</v>
      </c>
      <c r="R194" s="59" t="s">
        <v>123</v>
      </c>
      <c r="S194" s="66" t="s">
        <v>3644</v>
      </c>
      <c r="T194" s="66" t="s">
        <v>123</v>
      </c>
      <c r="U194" s="83" t="s">
        <v>3702</v>
      </c>
      <c r="V194" s="66" t="s">
        <v>123</v>
      </c>
      <c r="W194" s="83" t="s">
        <v>3702</v>
      </c>
      <c r="X194" s="45">
        <f t="shared" si="4"/>
        <v>5</v>
      </c>
      <c r="Y194" s="88"/>
    </row>
    <row r="195" spans="1:25" x14ac:dyDescent="0.25">
      <c r="A195" s="56" t="s">
        <v>923</v>
      </c>
      <c r="B195" s="57" t="s">
        <v>3695</v>
      </c>
      <c r="C195" s="47" t="s">
        <v>607</v>
      </c>
      <c r="D195" s="47" t="s">
        <v>608</v>
      </c>
      <c r="E195" s="47" t="s">
        <v>538</v>
      </c>
      <c r="F195" s="47" t="s">
        <v>538</v>
      </c>
      <c r="G195" s="64" t="s">
        <v>3585</v>
      </c>
      <c r="H195" s="64" t="s">
        <v>3585</v>
      </c>
      <c r="I195" s="58" t="s">
        <v>123</v>
      </c>
      <c r="J195" s="64" t="s">
        <v>3585</v>
      </c>
      <c r="K195" s="65" t="s">
        <v>3647</v>
      </c>
      <c r="L195" s="65" t="s">
        <v>3647</v>
      </c>
      <c r="M195" s="58" t="s">
        <v>123</v>
      </c>
      <c r="N195" s="58" t="s">
        <v>123</v>
      </c>
      <c r="O195" s="65" t="s">
        <v>3647</v>
      </c>
      <c r="P195" s="58" t="s">
        <v>123</v>
      </c>
      <c r="Q195" s="58" t="s">
        <v>123</v>
      </c>
      <c r="R195" s="58" t="s">
        <v>123</v>
      </c>
      <c r="S195" s="64" t="s">
        <v>3585</v>
      </c>
      <c r="T195" s="64" t="s">
        <v>123</v>
      </c>
      <c r="U195" s="58" t="s">
        <v>123</v>
      </c>
      <c r="V195" s="64" t="s">
        <v>123</v>
      </c>
      <c r="W195" s="58" t="s">
        <v>123</v>
      </c>
      <c r="X195" s="45">
        <f t="shared" si="4"/>
        <v>3</v>
      </c>
      <c r="Y195" s="87"/>
    </row>
    <row r="196" spans="1:25" ht="30" x14ac:dyDescent="0.25">
      <c r="A196" s="56" t="s">
        <v>923</v>
      </c>
      <c r="B196" s="57" t="s">
        <v>3696</v>
      </c>
      <c r="C196" s="47" t="s">
        <v>705</v>
      </c>
      <c r="D196" s="47" t="s">
        <v>706</v>
      </c>
      <c r="E196" s="47" t="s">
        <v>538</v>
      </c>
      <c r="F196" s="47" t="s">
        <v>538</v>
      </c>
      <c r="G196" s="64" t="s">
        <v>3585</v>
      </c>
      <c r="H196" s="64" t="s">
        <v>3585</v>
      </c>
      <c r="I196" s="64" t="s">
        <v>3585</v>
      </c>
      <c r="J196" s="64" t="s">
        <v>3585</v>
      </c>
      <c r="K196" s="65" t="s">
        <v>3647</v>
      </c>
      <c r="L196" s="65" t="s">
        <v>3647</v>
      </c>
      <c r="M196" s="58" t="s">
        <v>123</v>
      </c>
      <c r="N196" s="58" t="s">
        <v>123</v>
      </c>
      <c r="O196" s="65" t="s">
        <v>3647</v>
      </c>
      <c r="P196" s="58" t="s">
        <v>123</v>
      </c>
      <c r="Q196" s="58" t="s">
        <v>123</v>
      </c>
      <c r="R196" s="58" t="s">
        <v>123</v>
      </c>
      <c r="S196" s="64" t="s">
        <v>3585</v>
      </c>
      <c r="T196" s="64" t="s">
        <v>123</v>
      </c>
      <c r="U196" s="83" t="s">
        <v>3704</v>
      </c>
      <c r="V196" s="64" t="s">
        <v>123</v>
      </c>
      <c r="W196" s="83" t="s">
        <v>3704</v>
      </c>
      <c r="X196" s="45">
        <f t="shared" si="4"/>
        <v>5</v>
      </c>
      <c r="Y196" s="87"/>
    </row>
    <row r="197" spans="1:25" ht="45" x14ac:dyDescent="0.25">
      <c r="A197" s="56" t="s">
        <v>923</v>
      </c>
      <c r="B197" s="57" t="s">
        <v>3697</v>
      </c>
      <c r="C197" s="47" t="s">
        <v>833</v>
      </c>
      <c r="D197" s="47" t="s">
        <v>834</v>
      </c>
      <c r="E197" s="47" t="s">
        <v>538</v>
      </c>
      <c r="F197" s="47" t="s">
        <v>835</v>
      </c>
      <c r="G197" s="64" t="s">
        <v>3585</v>
      </c>
      <c r="H197" s="64" t="s">
        <v>3585</v>
      </c>
      <c r="I197" s="64" t="s">
        <v>3585</v>
      </c>
      <c r="J197" s="64" t="s">
        <v>3585</v>
      </c>
      <c r="K197" s="65" t="s">
        <v>3647</v>
      </c>
      <c r="L197" s="65" t="s">
        <v>3647</v>
      </c>
      <c r="M197" s="58" t="s">
        <v>123</v>
      </c>
      <c r="N197" s="58" t="s">
        <v>123</v>
      </c>
      <c r="O197" s="65" t="s">
        <v>3647</v>
      </c>
      <c r="P197" s="58" t="s">
        <v>123</v>
      </c>
      <c r="Q197" s="58" t="s">
        <v>123</v>
      </c>
      <c r="R197" s="58" t="s">
        <v>123</v>
      </c>
      <c r="S197" s="64" t="s">
        <v>3585</v>
      </c>
      <c r="T197" s="64" t="s">
        <v>123</v>
      </c>
      <c r="U197" s="83" t="s">
        <v>3704</v>
      </c>
      <c r="V197" s="64" t="s">
        <v>123</v>
      </c>
      <c r="W197" s="83" t="s">
        <v>3704</v>
      </c>
      <c r="X197" s="45">
        <f t="shared" si="4"/>
        <v>5</v>
      </c>
      <c r="Y197" s="87"/>
    </row>
    <row r="198" spans="1:25" ht="30" x14ac:dyDescent="0.25">
      <c r="A198" s="56" t="s">
        <v>923</v>
      </c>
      <c r="B198" s="57" t="s">
        <v>3698</v>
      </c>
      <c r="C198" s="47" t="s">
        <v>837</v>
      </c>
      <c r="D198" s="47" t="s">
        <v>838</v>
      </c>
      <c r="E198" s="47" t="s">
        <v>538</v>
      </c>
      <c r="F198" s="47" t="s">
        <v>538</v>
      </c>
      <c r="G198" s="58" t="s">
        <v>123</v>
      </c>
      <c r="H198" s="58" t="s">
        <v>123</v>
      </c>
      <c r="I198" s="64" t="s">
        <v>3585</v>
      </c>
      <c r="J198" s="58" t="s">
        <v>123</v>
      </c>
      <c r="K198" s="58" t="s">
        <v>123</v>
      </c>
      <c r="L198" s="58" t="s">
        <v>123</v>
      </c>
      <c r="M198" s="58" t="s">
        <v>123</v>
      </c>
      <c r="N198" s="58" t="s">
        <v>123</v>
      </c>
      <c r="O198" s="58" t="s">
        <v>123</v>
      </c>
      <c r="P198" s="58" t="s">
        <v>123</v>
      </c>
      <c r="Q198" s="58" t="s">
        <v>123</v>
      </c>
      <c r="R198" s="58" t="s">
        <v>123</v>
      </c>
      <c r="S198" s="58" t="s">
        <v>123</v>
      </c>
      <c r="T198" s="58" t="s">
        <v>123</v>
      </c>
      <c r="U198" s="83" t="s">
        <v>3704</v>
      </c>
      <c r="V198" s="58" t="s">
        <v>123</v>
      </c>
      <c r="W198" s="83" t="s">
        <v>3704</v>
      </c>
      <c r="X198" s="45">
        <f t="shared" si="4"/>
        <v>2</v>
      </c>
      <c r="Y198" s="87"/>
    </row>
    <row r="199" spans="1:25" x14ac:dyDescent="0.25">
      <c r="A199" s="56" t="s">
        <v>923</v>
      </c>
      <c r="B199" s="57" t="s">
        <v>3700</v>
      </c>
      <c r="C199" s="47" t="s">
        <v>854</v>
      </c>
      <c r="D199" s="47" t="s">
        <v>855</v>
      </c>
      <c r="E199" s="47" t="s">
        <v>538</v>
      </c>
      <c r="F199" s="47" t="s">
        <v>538</v>
      </c>
      <c r="G199" s="64" t="s">
        <v>3585</v>
      </c>
      <c r="H199" s="64" t="s">
        <v>3585</v>
      </c>
      <c r="I199" s="58" t="s">
        <v>123</v>
      </c>
      <c r="J199" s="64" t="s">
        <v>3585</v>
      </c>
      <c r="K199" s="65" t="s">
        <v>3647</v>
      </c>
      <c r="L199" s="65" t="s">
        <v>3647</v>
      </c>
      <c r="M199" s="58" t="s">
        <v>123</v>
      </c>
      <c r="N199" s="58" t="s">
        <v>123</v>
      </c>
      <c r="O199" s="65" t="s">
        <v>3647</v>
      </c>
      <c r="P199" s="58" t="s">
        <v>123</v>
      </c>
      <c r="Q199" s="58" t="s">
        <v>123</v>
      </c>
      <c r="R199" s="58" t="s">
        <v>123</v>
      </c>
      <c r="S199" s="64" t="s">
        <v>3585</v>
      </c>
      <c r="T199" s="64" t="s">
        <v>123</v>
      </c>
      <c r="U199" s="58" t="s">
        <v>123</v>
      </c>
      <c r="V199" s="64" t="s">
        <v>123</v>
      </c>
      <c r="W199" s="58" t="s">
        <v>123</v>
      </c>
      <c r="X199" s="45">
        <f t="shared" si="4"/>
        <v>3</v>
      </c>
      <c r="Y199" s="87"/>
    </row>
    <row r="200" spans="1:25" x14ac:dyDescent="0.25">
      <c r="A200" s="56" t="s">
        <v>923</v>
      </c>
      <c r="B200" s="57" t="s">
        <v>3701</v>
      </c>
      <c r="C200" s="47" t="s">
        <v>857</v>
      </c>
      <c r="D200" s="47" t="s">
        <v>858</v>
      </c>
      <c r="E200" s="47" t="s">
        <v>859</v>
      </c>
      <c r="F200" s="47" t="s">
        <v>538</v>
      </c>
      <c r="G200" s="64" t="s">
        <v>3585</v>
      </c>
      <c r="H200" s="64" t="s">
        <v>3585</v>
      </c>
      <c r="I200" s="64" t="s">
        <v>3585</v>
      </c>
      <c r="J200" s="64" t="s">
        <v>3585</v>
      </c>
      <c r="K200" s="65" t="s">
        <v>3647</v>
      </c>
      <c r="L200" s="65" t="s">
        <v>3647</v>
      </c>
      <c r="M200" s="58" t="s">
        <v>123</v>
      </c>
      <c r="N200" s="58" t="s">
        <v>123</v>
      </c>
      <c r="O200" s="65" t="s">
        <v>3647</v>
      </c>
      <c r="P200" s="58" t="s">
        <v>123</v>
      </c>
      <c r="Q200" s="58" t="s">
        <v>123</v>
      </c>
      <c r="R200" s="58" t="s">
        <v>123</v>
      </c>
      <c r="S200" s="64" t="s">
        <v>3585</v>
      </c>
      <c r="T200" s="64" t="s">
        <v>123</v>
      </c>
      <c r="U200" s="83" t="s">
        <v>3704</v>
      </c>
      <c r="V200" s="64" t="s">
        <v>123</v>
      </c>
      <c r="W200" s="83" t="s">
        <v>3704</v>
      </c>
      <c r="X200" s="45">
        <f t="shared" si="4"/>
        <v>5</v>
      </c>
      <c r="Y200" s="87"/>
    </row>
    <row r="201" spans="1:25" x14ac:dyDescent="0.25">
      <c r="A201" s="42" t="s">
        <v>924</v>
      </c>
      <c r="B201" s="90" t="s">
        <v>925</v>
      </c>
      <c r="C201" s="43"/>
      <c r="D201" s="43"/>
      <c r="E201" s="43" t="s">
        <v>538</v>
      </c>
      <c r="F201" s="43" t="s">
        <v>538</v>
      </c>
      <c r="G201" s="66" t="s">
        <v>3644</v>
      </c>
      <c r="H201" s="66" t="s">
        <v>3644</v>
      </c>
      <c r="I201" s="66" t="s">
        <v>3644</v>
      </c>
      <c r="J201" s="66" t="s">
        <v>3644</v>
      </c>
      <c r="K201" s="66" t="s">
        <v>3644</v>
      </c>
      <c r="L201" s="66" t="s">
        <v>3644</v>
      </c>
      <c r="M201" s="66" t="s">
        <v>3644</v>
      </c>
      <c r="N201" s="66" t="s">
        <v>3644</v>
      </c>
      <c r="O201" s="66" t="s">
        <v>3644</v>
      </c>
      <c r="P201" s="66" t="s">
        <v>3644</v>
      </c>
      <c r="Q201" s="66" t="s">
        <v>3644</v>
      </c>
      <c r="R201" s="66" t="s">
        <v>3644</v>
      </c>
      <c r="S201" s="66" t="s">
        <v>3644</v>
      </c>
      <c r="T201" s="83" t="s">
        <v>3645</v>
      </c>
      <c r="U201" s="83" t="s">
        <v>3702</v>
      </c>
      <c r="V201" s="83" t="s">
        <v>3645</v>
      </c>
      <c r="W201" s="83" t="s">
        <v>3645</v>
      </c>
      <c r="X201" s="45">
        <f t="shared" si="4"/>
        <v>4</v>
      </c>
    </row>
    <row r="202" spans="1:25" ht="30" x14ac:dyDescent="0.25">
      <c r="A202" s="56" t="s">
        <v>926</v>
      </c>
      <c r="B202" s="57" t="s">
        <v>684</v>
      </c>
      <c r="C202" s="47" t="s">
        <v>685</v>
      </c>
      <c r="D202" s="47" t="s">
        <v>686</v>
      </c>
      <c r="E202" s="47" t="s">
        <v>538</v>
      </c>
      <c r="F202" s="47" t="s">
        <v>687</v>
      </c>
      <c r="G202" s="64" t="s">
        <v>3585</v>
      </c>
      <c r="H202" s="64" t="s">
        <v>3585</v>
      </c>
      <c r="I202" s="64" t="s">
        <v>3585</v>
      </c>
      <c r="J202" s="64" t="s">
        <v>3585</v>
      </c>
      <c r="K202" s="64" t="s">
        <v>3585</v>
      </c>
      <c r="L202" s="64" t="s">
        <v>3585</v>
      </c>
      <c r="M202" s="64" t="s">
        <v>3585</v>
      </c>
      <c r="N202" s="64" t="s">
        <v>3585</v>
      </c>
      <c r="O202" s="64" t="s">
        <v>3585</v>
      </c>
      <c r="P202" s="64" t="s">
        <v>3585</v>
      </c>
      <c r="Q202" s="64" t="s">
        <v>3585</v>
      </c>
      <c r="R202" s="64" t="s">
        <v>3585</v>
      </c>
      <c r="S202" s="64" t="s">
        <v>3585</v>
      </c>
      <c r="T202" s="83" t="s">
        <v>3672</v>
      </c>
      <c r="U202" s="83" t="s">
        <v>3688</v>
      </c>
      <c r="V202" s="83" t="s">
        <v>3672</v>
      </c>
      <c r="W202" s="83" t="s">
        <v>3690</v>
      </c>
      <c r="X202" s="45">
        <f t="shared" si="4"/>
        <v>4</v>
      </c>
    </row>
    <row r="203" spans="1:25" ht="30" x14ac:dyDescent="0.25">
      <c r="A203" s="56" t="s">
        <v>926</v>
      </c>
      <c r="B203" s="57" t="s">
        <v>720</v>
      </c>
      <c r="C203" s="47" t="s">
        <v>721</v>
      </c>
      <c r="D203" s="47" t="s">
        <v>722</v>
      </c>
      <c r="E203" s="47" t="s">
        <v>538</v>
      </c>
      <c r="F203" s="47" t="s">
        <v>538</v>
      </c>
      <c r="G203" s="64" t="s">
        <v>3585</v>
      </c>
      <c r="H203" s="64" t="s">
        <v>3585</v>
      </c>
      <c r="I203" s="64" t="s">
        <v>3585</v>
      </c>
      <c r="J203" s="64" t="s">
        <v>3585</v>
      </c>
      <c r="K203" s="64" t="s">
        <v>3585</v>
      </c>
      <c r="L203" s="64" t="s">
        <v>3585</v>
      </c>
      <c r="M203" s="64" t="s">
        <v>3585</v>
      </c>
      <c r="N203" s="64" t="s">
        <v>3585</v>
      </c>
      <c r="O203" s="64" t="s">
        <v>3585</v>
      </c>
      <c r="P203" s="64" t="s">
        <v>3585</v>
      </c>
      <c r="Q203" s="64" t="s">
        <v>3585</v>
      </c>
      <c r="R203" s="64" t="s">
        <v>3585</v>
      </c>
      <c r="S203" s="64" t="s">
        <v>3585</v>
      </c>
      <c r="T203" s="83" t="s">
        <v>3672</v>
      </c>
      <c r="U203" s="83" t="s">
        <v>3687</v>
      </c>
      <c r="V203" s="83" t="s">
        <v>3674</v>
      </c>
      <c r="W203" s="83" t="s">
        <v>3687</v>
      </c>
      <c r="X203" s="45">
        <f t="shared" si="4"/>
        <v>4</v>
      </c>
    </row>
    <row r="204" spans="1:25" x14ac:dyDescent="0.25">
      <c r="A204" s="56" t="s">
        <v>926</v>
      </c>
      <c r="B204" s="57" t="s">
        <v>765</v>
      </c>
      <c r="C204" s="47" t="s">
        <v>766</v>
      </c>
      <c r="D204" s="47" t="s">
        <v>767</v>
      </c>
      <c r="E204" s="47" t="s">
        <v>538</v>
      </c>
      <c r="F204" s="47" t="s">
        <v>538</v>
      </c>
      <c r="G204" s="64" t="s">
        <v>3585</v>
      </c>
      <c r="H204" s="64" t="s">
        <v>3585</v>
      </c>
      <c r="I204" s="64" t="s">
        <v>3585</v>
      </c>
      <c r="J204" s="64" t="s">
        <v>3585</v>
      </c>
      <c r="K204" s="64" t="s">
        <v>3585</v>
      </c>
      <c r="L204" s="58" t="s">
        <v>123</v>
      </c>
      <c r="M204" s="64" t="s">
        <v>3585</v>
      </c>
      <c r="N204" s="64" t="s">
        <v>3585</v>
      </c>
      <c r="O204" s="64" t="s">
        <v>3585</v>
      </c>
      <c r="P204" s="64" t="s">
        <v>3585</v>
      </c>
      <c r="Q204" s="64" t="s">
        <v>3585</v>
      </c>
      <c r="R204" s="64" t="s">
        <v>3585</v>
      </c>
      <c r="S204" s="64" t="s">
        <v>3585</v>
      </c>
      <c r="T204" s="83" t="s">
        <v>3672</v>
      </c>
      <c r="U204" s="83" t="s">
        <v>3689</v>
      </c>
      <c r="V204" s="83" t="s">
        <v>3672</v>
      </c>
      <c r="W204" s="83" t="s">
        <v>3691</v>
      </c>
      <c r="X204" s="45">
        <f t="shared" ref="X204:X210" si="5">COUNTIF(G204:W204,"*-Y")+COUNTIF(G204:W204,"S")+COUNTIF(G204:W204,"M")</f>
        <v>4</v>
      </c>
    </row>
    <row r="205" spans="1:25" x14ac:dyDescent="0.25">
      <c r="A205" s="42" t="s">
        <v>927</v>
      </c>
      <c r="B205" s="90" t="s">
        <v>928</v>
      </c>
      <c r="C205" s="43"/>
      <c r="D205" s="43"/>
      <c r="E205" s="43" t="s">
        <v>538</v>
      </c>
      <c r="F205" s="43" t="s">
        <v>538</v>
      </c>
      <c r="G205" s="66" t="s">
        <v>3644</v>
      </c>
      <c r="H205" s="66" t="s">
        <v>3644</v>
      </c>
      <c r="I205" s="66" t="s">
        <v>3644</v>
      </c>
      <c r="J205" s="66" t="s">
        <v>3644</v>
      </c>
      <c r="K205" s="67" t="s">
        <v>3645</v>
      </c>
      <c r="L205" s="67" t="s">
        <v>3645</v>
      </c>
      <c r="M205" s="67" t="s">
        <v>3645</v>
      </c>
      <c r="N205" s="67" t="s">
        <v>3645</v>
      </c>
      <c r="O205" s="67" t="s">
        <v>3645</v>
      </c>
      <c r="P205" s="67" t="s">
        <v>3645</v>
      </c>
      <c r="Q205" s="67" t="s">
        <v>3645</v>
      </c>
      <c r="R205" s="67" t="s">
        <v>3645</v>
      </c>
      <c r="S205" s="66" t="s">
        <v>3644</v>
      </c>
      <c r="T205" s="83" t="s">
        <v>3645</v>
      </c>
      <c r="U205" s="83" t="s">
        <v>3702</v>
      </c>
      <c r="V205" s="83" t="s">
        <v>3645</v>
      </c>
      <c r="W205" s="83" t="s">
        <v>3645</v>
      </c>
      <c r="X205" s="45">
        <f t="shared" si="5"/>
        <v>12</v>
      </c>
    </row>
    <row r="206" spans="1:25" ht="60" x14ac:dyDescent="0.25">
      <c r="A206" s="56" t="s">
        <v>929</v>
      </c>
      <c r="B206" s="57" t="s">
        <v>593</v>
      </c>
      <c r="C206" s="47" t="s">
        <v>594</v>
      </c>
      <c r="D206" s="47" t="s">
        <v>595</v>
      </c>
      <c r="E206" s="47" t="s">
        <v>596</v>
      </c>
      <c r="F206" s="47" t="s">
        <v>538</v>
      </c>
      <c r="G206" s="64" t="s">
        <v>3585</v>
      </c>
      <c r="H206" s="64" t="s">
        <v>3585</v>
      </c>
      <c r="I206" s="64" t="s">
        <v>3585</v>
      </c>
      <c r="J206" s="64" t="s">
        <v>3585</v>
      </c>
      <c r="K206" s="65" t="s">
        <v>3647</v>
      </c>
      <c r="L206" s="65" t="s">
        <v>3647</v>
      </c>
      <c r="M206" s="65" t="s">
        <v>3647</v>
      </c>
      <c r="N206" s="65" t="s">
        <v>3647</v>
      </c>
      <c r="O206" s="65" t="s">
        <v>3647</v>
      </c>
      <c r="P206" s="65" t="s">
        <v>3647</v>
      </c>
      <c r="Q206" s="65" t="s">
        <v>3647</v>
      </c>
      <c r="R206" s="65" t="s">
        <v>3647</v>
      </c>
      <c r="S206" s="64" t="s">
        <v>3585</v>
      </c>
      <c r="T206" s="83" t="s">
        <v>3673</v>
      </c>
      <c r="U206" s="83" t="s">
        <v>3687</v>
      </c>
      <c r="V206" s="83" t="s">
        <v>3673</v>
      </c>
      <c r="W206" s="83" t="s">
        <v>3687</v>
      </c>
      <c r="X206" s="45">
        <f t="shared" si="5"/>
        <v>12</v>
      </c>
    </row>
    <row r="207" spans="1:25" ht="30" x14ac:dyDescent="0.25">
      <c r="A207" s="56" t="s">
        <v>929</v>
      </c>
      <c r="B207" s="57" t="s">
        <v>597</v>
      </c>
      <c r="C207" s="47" t="s">
        <v>598</v>
      </c>
      <c r="D207" s="47" t="s">
        <v>599</v>
      </c>
      <c r="E207" s="47" t="s">
        <v>600</v>
      </c>
      <c r="F207" s="47" t="s">
        <v>538</v>
      </c>
      <c r="G207" s="64" t="s">
        <v>3585</v>
      </c>
      <c r="H207" s="64" t="s">
        <v>3585</v>
      </c>
      <c r="I207" s="58" t="s">
        <v>123</v>
      </c>
      <c r="J207" s="64" t="s">
        <v>3585</v>
      </c>
      <c r="K207" s="65" t="s">
        <v>3647</v>
      </c>
      <c r="L207" s="65" t="s">
        <v>3647</v>
      </c>
      <c r="M207" s="58" t="s">
        <v>123</v>
      </c>
      <c r="N207" s="58" t="s">
        <v>123</v>
      </c>
      <c r="O207" s="65" t="s">
        <v>3647</v>
      </c>
      <c r="P207" s="58" t="s">
        <v>123</v>
      </c>
      <c r="Q207" s="58" t="s">
        <v>123</v>
      </c>
      <c r="R207" s="58" t="s">
        <v>123</v>
      </c>
      <c r="S207" s="64" t="s">
        <v>3585</v>
      </c>
      <c r="T207" s="64" t="s">
        <v>123</v>
      </c>
      <c r="U207" s="58" t="s">
        <v>123</v>
      </c>
      <c r="V207" s="64" t="s">
        <v>123</v>
      </c>
      <c r="W207" s="58" t="s">
        <v>123</v>
      </c>
      <c r="X207" s="45">
        <f t="shared" si="5"/>
        <v>3</v>
      </c>
    </row>
    <row r="208" spans="1:25" ht="30" x14ac:dyDescent="0.25">
      <c r="A208" s="56" t="s">
        <v>929</v>
      </c>
      <c r="B208" s="57" t="s">
        <v>601</v>
      </c>
      <c r="C208" s="47" t="s">
        <v>602</v>
      </c>
      <c r="D208" s="47" t="s">
        <v>603</v>
      </c>
      <c r="E208" s="47" t="s">
        <v>604</v>
      </c>
      <c r="F208" s="47" t="s">
        <v>538</v>
      </c>
      <c r="G208" s="64" t="s">
        <v>3585</v>
      </c>
      <c r="H208" s="64" t="s">
        <v>3585</v>
      </c>
      <c r="I208" s="58" t="s">
        <v>123</v>
      </c>
      <c r="J208" s="64" t="s">
        <v>3585</v>
      </c>
      <c r="K208" s="65" t="s">
        <v>3647</v>
      </c>
      <c r="L208" s="65" t="s">
        <v>3647</v>
      </c>
      <c r="M208" s="58" t="s">
        <v>123</v>
      </c>
      <c r="N208" s="58" t="s">
        <v>123</v>
      </c>
      <c r="O208" s="65" t="s">
        <v>3647</v>
      </c>
      <c r="P208" s="58" t="s">
        <v>123</v>
      </c>
      <c r="Q208" s="58" t="s">
        <v>123</v>
      </c>
      <c r="R208" s="58" t="s">
        <v>123</v>
      </c>
      <c r="S208" s="64" t="s">
        <v>3585</v>
      </c>
      <c r="T208" s="64" t="s">
        <v>123</v>
      </c>
      <c r="U208" s="58" t="s">
        <v>123</v>
      </c>
      <c r="V208" s="64" t="s">
        <v>123</v>
      </c>
      <c r="W208" s="58" t="s">
        <v>123</v>
      </c>
      <c r="X208" s="45">
        <f t="shared" si="5"/>
        <v>3</v>
      </c>
    </row>
    <row r="209" spans="1:24" ht="30" x14ac:dyDescent="0.25">
      <c r="A209" s="56" t="s">
        <v>929</v>
      </c>
      <c r="B209" s="57" t="s">
        <v>771</v>
      </c>
      <c r="C209" s="47" t="s">
        <v>772</v>
      </c>
      <c r="D209" s="47" t="s">
        <v>773</v>
      </c>
      <c r="E209" s="47" t="s">
        <v>538</v>
      </c>
      <c r="F209" s="47" t="s">
        <v>538</v>
      </c>
      <c r="G209" s="64" t="s">
        <v>3585</v>
      </c>
      <c r="H209" s="64" t="s">
        <v>3585</v>
      </c>
      <c r="I209" s="64" t="s">
        <v>3585</v>
      </c>
      <c r="J209" s="64" t="s">
        <v>3585</v>
      </c>
      <c r="K209" s="65" t="s">
        <v>3647</v>
      </c>
      <c r="L209" s="65" t="s">
        <v>3647</v>
      </c>
      <c r="M209" s="65" t="s">
        <v>3647</v>
      </c>
      <c r="N209" s="65" t="s">
        <v>3647</v>
      </c>
      <c r="O209" s="65" t="s">
        <v>3647</v>
      </c>
      <c r="P209" s="65" t="s">
        <v>3647</v>
      </c>
      <c r="Q209" s="65" t="s">
        <v>3647</v>
      </c>
      <c r="R209" s="65" t="s">
        <v>3647</v>
      </c>
      <c r="S209" s="64" t="s">
        <v>3585</v>
      </c>
      <c r="T209" s="83" t="s">
        <v>3672</v>
      </c>
      <c r="U209" s="83" t="s">
        <v>3691</v>
      </c>
      <c r="V209" s="83" t="s">
        <v>3673</v>
      </c>
      <c r="W209" s="83" t="s">
        <v>3687</v>
      </c>
      <c r="X209" s="45">
        <f t="shared" si="5"/>
        <v>12</v>
      </c>
    </row>
    <row r="210" spans="1:24" ht="30" x14ac:dyDescent="0.25">
      <c r="A210" s="56" t="s">
        <v>929</v>
      </c>
      <c r="B210" s="57" t="s">
        <v>839</v>
      </c>
      <c r="C210" s="47" t="s">
        <v>840</v>
      </c>
      <c r="D210" s="47" t="s">
        <v>841</v>
      </c>
      <c r="E210" s="47" t="s">
        <v>538</v>
      </c>
      <c r="F210" s="47" t="s">
        <v>538</v>
      </c>
      <c r="G210" s="64" t="s">
        <v>3585</v>
      </c>
      <c r="H210" s="64" t="s">
        <v>3585</v>
      </c>
      <c r="I210" s="64" t="s">
        <v>3585</v>
      </c>
      <c r="J210" s="64" t="s">
        <v>3585</v>
      </c>
      <c r="K210" s="65" t="s">
        <v>3647</v>
      </c>
      <c r="L210" s="65" t="s">
        <v>3647</v>
      </c>
      <c r="M210" s="65" t="s">
        <v>3647</v>
      </c>
      <c r="N210" s="65" t="s">
        <v>3647</v>
      </c>
      <c r="O210" s="65" t="s">
        <v>3647</v>
      </c>
      <c r="P210" s="65" t="s">
        <v>3647</v>
      </c>
      <c r="Q210" s="65" t="s">
        <v>3647</v>
      </c>
      <c r="R210" s="65" t="s">
        <v>3647</v>
      </c>
      <c r="S210" s="64" t="s">
        <v>3585</v>
      </c>
      <c r="T210" s="83" t="s">
        <v>3672</v>
      </c>
      <c r="U210" s="83" t="s">
        <v>3687</v>
      </c>
      <c r="V210" s="83" t="s">
        <v>3674</v>
      </c>
      <c r="W210" s="83" t="s">
        <v>3693</v>
      </c>
      <c r="X210" s="45">
        <f t="shared" si="5"/>
        <v>12</v>
      </c>
    </row>
    <row r="211" spans="1:24" x14ac:dyDescent="0.25">
      <c r="G211" s="60"/>
      <c r="H211" s="60"/>
      <c r="I211" s="60"/>
      <c r="J211" s="60"/>
      <c r="K211" s="60"/>
      <c r="L211" s="60"/>
      <c r="M211" s="60"/>
      <c r="N211" s="60"/>
      <c r="O211" s="60"/>
      <c r="P211" s="60"/>
      <c r="Q211" s="60"/>
      <c r="R211" s="60"/>
      <c r="S211" s="60"/>
      <c r="T211" s="60"/>
      <c r="U211" s="60"/>
      <c r="V211" s="60"/>
      <c r="W211" s="60"/>
    </row>
    <row r="212" spans="1:24" x14ac:dyDescent="0.25">
      <c r="G212" s="60"/>
      <c r="H212" s="60"/>
      <c r="I212" s="60"/>
      <c r="J212" s="60"/>
      <c r="K212" s="60"/>
      <c r="L212" s="60"/>
      <c r="M212" s="60"/>
      <c r="N212" s="60"/>
      <c r="O212" s="60"/>
      <c r="P212" s="60"/>
      <c r="Q212" s="60"/>
      <c r="R212" s="60"/>
      <c r="S212" s="60"/>
      <c r="T212" s="60"/>
      <c r="U212" s="60"/>
      <c r="V212" s="60"/>
      <c r="W212" s="60"/>
    </row>
    <row r="213" spans="1:24" x14ac:dyDescent="0.25">
      <c r="G213" s="60"/>
      <c r="H213" s="60"/>
      <c r="I213" s="60"/>
      <c r="J213" s="60"/>
      <c r="K213" s="60"/>
      <c r="L213" s="60"/>
      <c r="M213" s="60"/>
      <c r="N213" s="60"/>
      <c r="O213" s="60"/>
      <c r="P213" s="60"/>
      <c r="Q213" s="60"/>
      <c r="R213" s="60"/>
      <c r="S213" s="60"/>
      <c r="T213" s="60"/>
      <c r="U213" s="60"/>
      <c r="V213" s="60"/>
      <c r="W213" s="60"/>
    </row>
    <row r="214" spans="1:24" x14ac:dyDescent="0.25">
      <c r="G214" s="60"/>
      <c r="H214" s="60"/>
      <c r="I214" s="60"/>
      <c r="J214" s="60"/>
      <c r="K214" s="60"/>
      <c r="L214" s="60"/>
      <c r="M214" s="60"/>
      <c r="N214" s="60"/>
      <c r="O214" s="60"/>
      <c r="P214" s="60"/>
      <c r="Q214" s="60"/>
      <c r="R214" s="60"/>
      <c r="S214" s="60"/>
      <c r="T214" s="60"/>
      <c r="U214" s="60"/>
      <c r="V214" s="60"/>
      <c r="W214" s="60"/>
    </row>
    <row r="215" spans="1:24" x14ac:dyDescent="0.25">
      <c r="G215" s="60"/>
      <c r="H215" s="60"/>
      <c r="I215" s="60"/>
      <c r="J215" s="60"/>
      <c r="K215" s="60"/>
      <c r="L215" s="60"/>
      <c r="M215" s="60"/>
      <c r="N215" s="60"/>
      <c r="O215" s="60"/>
      <c r="P215" s="60"/>
      <c r="Q215" s="60"/>
      <c r="R215" s="60"/>
      <c r="S215" s="60"/>
      <c r="T215" s="60"/>
      <c r="U215" s="60"/>
      <c r="V215" s="60"/>
      <c r="W215" s="60"/>
    </row>
    <row r="216" spans="1:24" x14ac:dyDescent="0.25">
      <c r="G216" s="60"/>
      <c r="H216" s="60"/>
      <c r="I216" s="60"/>
      <c r="J216" s="60"/>
      <c r="K216" s="60"/>
      <c r="L216" s="60"/>
      <c r="M216" s="60"/>
      <c r="N216" s="60"/>
      <c r="O216" s="60"/>
      <c r="P216" s="60"/>
      <c r="Q216" s="60"/>
      <c r="R216" s="60"/>
      <c r="S216" s="60"/>
      <c r="T216" s="60"/>
      <c r="U216" s="60"/>
      <c r="V216" s="60"/>
      <c r="W216" s="60"/>
    </row>
    <row r="217" spans="1:24" x14ac:dyDescent="0.25">
      <c r="G217" s="60"/>
      <c r="H217" s="60"/>
      <c r="I217" s="60"/>
      <c r="J217" s="60"/>
      <c r="K217" s="60"/>
      <c r="L217" s="60"/>
      <c r="M217" s="60"/>
      <c r="N217" s="60"/>
      <c r="O217" s="60"/>
      <c r="P217" s="60"/>
      <c r="Q217" s="60"/>
      <c r="R217" s="60"/>
      <c r="S217" s="60"/>
      <c r="T217" s="60"/>
      <c r="U217" s="60"/>
      <c r="V217" s="60"/>
      <c r="W217" s="60"/>
    </row>
    <row r="218" spans="1:24" x14ac:dyDescent="0.25">
      <c r="G218" s="60"/>
      <c r="H218" s="60"/>
      <c r="I218" s="60"/>
      <c r="J218" s="60"/>
      <c r="K218" s="60"/>
      <c r="L218" s="60"/>
      <c r="M218" s="60"/>
      <c r="N218" s="60"/>
      <c r="O218" s="60"/>
      <c r="P218" s="60"/>
      <c r="Q218" s="60"/>
      <c r="R218" s="60"/>
      <c r="S218" s="60"/>
      <c r="T218" s="60"/>
      <c r="U218" s="60"/>
      <c r="V218" s="60"/>
      <c r="W218" s="60"/>
    </row>
    <row r="219" spans="1:24" x14ac:dyDescent="0.25">
      <c r="G219" s="60"/>
      <c r="H219" s="60"/>
      <c r="I219" s="60"/>
      <c r="J219" s="60"/>
      <c r="K219" s="60"/>
      <c r="L219" s="60"/>
      <c r="M219" s="60"/>
      <c r="N219" s="60"/>
      <c r="O219" s="60"/>
      <c r="P219" s="60"/>
      <c r="Q219" s="60"/>
      <c r="R219" s="60"/>
      <c r="S219" s="60"/>
      <c r="T219" s="60"/>
      <c r="U219" s="60"/>
      <c r="V219" s="60"/>
      <c r="W219" s="60"/>
    </row>
    <row r="220" spans="1:24" x14ac:dyDescent="0.25">
      <c r="G220" s="60"/>
      <c r="H220" s="60"/>
      <c r="I220" s="60"/>
      <c r="J220" s="60"/>
      <c r="K220" s="60"/>
      <c r="L220" s="60"/>
      <c r="M220" s="60"/>
      <c r="N220" s="60"/>
      <c r="O220" s="60"/>
      <c r="P220" s="60"/>
      <c r="Q220" s="60"/>
      <c r="R220" s="60"/>
      <c r="S220" s="60"/>
      <c r="T220" s="60"/>
      <c r="U220" s="60"/>
      <c r="V220" s="60"/>
      <c r="W220" s="60"/>
    </row>
    <row r="221" spans="1:24" x14ac:dyDescent="0.25">
      <c r="G221" s="60"/>
      <c r="H221" s="60"/>
      <c r="I221" s="60"/>
      <c r="J221" s="60"/>
      <c r="K221" s="60"/>
      <c r="L221" s="60"/>
      <c r="M221" s="60"/>
      <c r="N221" s="60"/>
      <c r="O221" s="60"/>
      <c r="P221" s="60"/>
      <c r="Q221" s="60"/>
      <c r="R221" s="60"/>
      <c r="S221" s="60"/>
      <c r="T221" s="60"/>
      <c r="U221" s="60"/>
      <c r="V221" s="60"/>
      <c r="W221" s="60"/>
    </row>
    <row r="222" spans="1:24" x14ac:dyDescent="0.25">
      <c r="G222" s="60"/>
      <c r="H222" s="60"/>
      <c r="I222" s="60"/>
      <c r="J222" s="60"/>
      <c r="K222" s="60"/>
      <c r="L222" s="60"/>
      <c r="M222" s="60"/>
      <c r="N222" s="60"/>
      <c r="O222" s="60"/>
      <c r="P222" s="60"/>
      <c r="Q222" s="60"/>
      <c r="R222" s="60"/>
      <c r="S222" s="60"/>
      <c r="T222" s="60"/>
      <c r="U222" s="60"/>
      <c r="V222" s="60"/>
      <c r="W222" s="60"/>
    </row>
    <row r="223" spans="1:24" x14ac:dyDescent="0.25">
      <c r="G223" s="60"/>
      <c r="H223" s="60"/>
      <c r="I223" s="60"/>
      <c r="J223" s="60"/>
      <c r="K223" s="60"/>
      <c r="L223" s="60"/>
      <c r="M223" s="60"/>
      <c r="N223" s="60"/>
      <c r="O223" s="60"/>
      <c r="P223" s="60"/>
      <c r="Q223" s="60"/>
      <c r="R223" s="60"/>
      <c r="S223" s="60"/>
      <c r="T223" s="60"/>
      <c r="U223" s="60"/>
      <c r="V223" s="60"/>
      <c r="W223" s="60"/>
    </row>
    <row r="224" spans="1:24" x14ac:dyDescent="0.25">
      <c r="G224" s="60"/>
      <c r="H224" s="60"/>
      <c r="I224" s="60"/>
      <c r="J224" s="60"/>
      <c r="K224" s="60"/>
      <c r="L224" s="60"/>
      <c r="M224" s="60"/>
      <c r="N224" s="60"/>
      <c r="O224" s="60"/>
      <c r="P224" s="60"/>
      <c r="Q224" s="60"/>
      <c r="R224" s="60"/>
      <c r="S224" s="60"/>
      <c r="T224" s="60"/>
      <c r="U224" s="60"/>
      <c r="V224" s="60"/>
      <c r="W224" s="60"/>
    </row>
    <row r="225" spans="7:23" x14ac:dyDescent="0.25">
      <c r="G225" s="60"/>
      <c r="H225" s="60"/>
      <c r="I225" s="60"/>
      <c r="J225" s="60"/>
      <c r="K225" s="60"/>
      <c r="L225" s="60"/>
      <c r="M225" s="60"/>
      <c r="N225" s="60"/>
      <c r="O225" s="60"/>
      <c r="P225" s="60"/>
      <c r="Q225" s="60"/>
      <c r="R225" s="60"/>
      <c r="S225" s="60"/>
      <c r="T225" s="60"/>
      <c r="U225" s="60"/>
      <c r="V225" s="60"/>
      <c r="W225" s="60"/>
    </row>
    <row r="226" spans="7:23" x14ac:dyDescent="0.25">
      <c r="G226" s="60"/>
      <c r="H226" s="60"/>
      <c r="I226" s="60"/>
      <c r="J226" s="60"/>
      <c r="K226" s="60"/>
      <c r="L226" s="60"/>
      <c r="M226" s="60"/>
      <c r="N226" s="60"/>
      <c r="O226" s="60"/>
      <c r="P226" s="60"/>
      <c r="Q226" s="60"/>
      <c r="R226" s="60"/>
      <c r="S226" s="60"/>
      <c r="T226" s="60"/>
      <c r="U226" s="60"/>
      <c r="V226" s="60"/>
      <c r="W226" s="60"/>
    </row>
    <row r="227" spans="7:23" x14ac:dyDescent="0.25">
      <c r="G227" s="60"/>
      <c r="H227" s="60"/>
      <c r="I227" s="60"/>
      <c r="J227" s="60"/>
      <c r="K227" s="60"/>
      <c r="L227" s="60"/>
      <c r="M227" s="60"/>
      <c r="N227" s="60"/>
      <c r="O227" s="60"/>
      <c r="P227" s="60"/>
      <c r="Q227" s="60"/>
      <c r="R227" s="60"/>
      <c r="S227" s="60"/>
      <c r="T227" s="60"/>
      <c r="U227" s="60"/>
      <c r="V227" s="60"/>
      <c r="W227" s="60"/>
    </row>
    <row r="228" spans="7:23" x14ac:dyDescent="0.25">
      <c r="G228" s="60"/>
      <c r="H228" s="60"/>
      <c r="I228" s="60"/>
      <c r="J228" s="60"/>
      <c r="K228" s="60"/>
      <c r="L228" s="60"/>
      <c r="M228" s="60"/>
      <c r="N228" s="60"/>
      <c r="O228" s="60"/>
      <c r="P228" s="60"/>
      <c r="Q228" s="60"/>
      <c r="R228" s="60"/>
      <c r="S228" s="60"/>
      <c r="T228" s="60"/>
      <c r="U228" s="60"/>
      <c r="V228" s="60"/>
      <c r="W228" s="60"/>
    </row>
    <row r="229" spans="7:23" x14ac:dyDescent="0.25">
      <c r="G229" s="60"/>
      <c r="H229" s="60"/>
      <c r="I229" s="60"/>
      <c r="J229" s="60"/>
      <c r="K229" s="60"/>
      <c r="L229" s="60"/>
      <c r="M229" s="60"/>
      <c r="N229" s="60"/>
      <c r="O229" s="60"/>
      <c r="P229" s="60"/>
      <c r="Q229" s="60"/>
      <c r="R229" s="60"/>
      <c r="S229" s="60"/>
      <c r="T229" s="60"/>
      <c r="U229" s="60"/>
      <c r="V229" s="60"/>
      <c r="W229" s="60"/>
    </row>
    <row r="230" spans="7:23" x14ac:dyDescent="0.25">
      <c r="G230" s="60"/>
      <c r="H230" s="60"/>
      <c r="I230" s="60"/>
      <c r="J230" s="60"/>
      <c r="K230" s="60"/>
      <c r="L230" s="60"/>
      <c r="M230" s="60"/>
      <c r="N230" s="60"/>
      <c r="O230" s="60"/>
      <c r="P230" s="60"/>
      <c r="Q230" s="60"/>
      <c r="R230" s="60"/>
      <c r="S230" s="60"/>
      <c r="T230" s="60"/>
      <c r="U230" s="60"/>
      <c r="V230" s="60"/>
      <c r="W230" s="60"/>
    </row>
    <row r="231" spans="7:23" x14ac:dyDescent="0.25">
      <c r="G231" s="60"/>
      <c r="H231" s="60"/>
      <c r="I231" s="60"/>
      <c r="J231" s="60"/>
      <c r="K231" s="60"/>
      <c r="L231" s="60"/>
      <c r="M231" s="60"/>
      <c r="N231" s="60"/>
      <c r="O231" s="60"/>
      <c r="P231" s="60"/>
      <c r="Q231" s="60"/>
      <c r="R231" s="60"/>
      <c r="S231" s="60"/>
      <c r="T231" s="60"/>
      <c r="U231" s="60"/>
      <c r="V231" s="60"/>
      <c r="W231" s="60"/>
    </row>
    <row r="232" spans="7:23" x14ac:dyDescent="0.25">
      <c r="G232" s="60"/>
      <c r="H232" s="60"/>
      <c r="I232" s="60"/>
      <c r="J232" s="60"/>
      <c r="K232" s="60"/>
      <c r="L232" s="60"/>
      <c r="M232" s="60"/>
      <c r="N232" s="60"/>
      <c r="O232" s="60"/>
      <c r="P232" s="60"/>
      <c r="Q232" s="60"/>
      <c r="R232" s="60"/>
      <c r="S232" s="60"/>
      <c r="T232" s="60"/>
      <c r="U232" s="60"/>
      <c r="V232" s="60"/>
      <c r="W232" s="60"/>
    </row>
    <row r="233" spans="7:23" x14ac:dyDescent="0.25">
      <c r="G233" s="60"/>
      <c r="H233" s="60"/>
      <c r="I233" s="60"/>
      <c r="J233" s="60"/>
      <c r="K233" s="60"/>
      <c r="L233" s="60"/>
      <c r="M233" s="60"/>
      <c r="N233" s="60"/>
      <c r="O233" s="60"/>
      <c r="P233" s="60"/>
      <c r="Q233" s="60"/>
      <c r="R233" s="60"/>
      <c r="S233" s="60"/>
      <c r="T233" s="60"/>
      <c r="U233" s="60"/>
      <c r="V233" s="60"/>
      <c r="W233" s="60"/>
    </row>
    <row r="234" spans="7:23" x14ac:dyDescent="0.25">
      <c r="G234" s="60"/>
      <c r="H234" s="60"/>
      <c r="I234" s="60"/>
      <c r="J234" s="60"/>
      <c r="K234" s="60"/>
      <c r="L234" s="60"/>
      <c r="M234" s="60"/>
      <c r="N234" s="60"/>
      <c r="O234" s="60"/>
      <c r="P234" s="60"/>
      <c r="Q234" s="60"/>
      <c r="R234" s="60"/>
      <c r="S234" s="60"/>
      <c r="T234" s="60"/>
      <c r="U234" s="60"/>
      <c r="V234" s="60"/>
      <c r="W234" s="60"/>
    </row>
    <row r="235" spans="7:23" x14ac:dyDescent="0.25">
      <c r="G235" s="60"/>
      <c r="H235" s="60"/>
      <c r="I235" s="60"/>
      <c r="J235" s="60"/>
      <c r="K235" s="60"/>
      <c r="L235" s="60"/>
      <c r="M235" s="60"/>
      <c r="N235" s="60"/>
      <c r="O235" s="60"/>
      <c r="P235" s="60"/>
      <c r="Q235" s="60"/>
      <c r="R235" s="60"/>
      <c r="S235" s="60"/>
      <c r="T235" s="60"/>
      <c r="U235" s="60"/>
      <c r="V235" s="60"/>
      <c r="W235" s="60"/>
    </row>
    <row r="236" spans="7:23" x14ac:dyDescent="0.25">
      <c r="G236" s="60"/>
      <c r="H236" s="60"/>
      <c r="I236" s="60"/>
      <c r="J236" s="60"/>
      <c r="K236" s="60"/>
      <c r="L236" s="60"/>
      <c r="M236" s="60"/>
      <c r="N236" s="60"/>
      <c r="O236" s="60"/>
      <c r="P236" s="60"/>
      <c r="Q236" s="60"/>
      <c r="R236" s="60"/>
      <c r="S236" s="60"/>
      <c r="T236" s="60"/>
      <c r="U236" s="60"/>
      <c r="V236" s="60"/>
      <c r="W236" s="60"/>
    </row>
    <row r="237" spans="7:23" x14ac:dyDescent="0.25">
      <c r="G237" s="60"/>
      <c r="H237" s="60"/>
      <c r="I237" s="60"/>
      <c r="J237" s="60"/>
      <c r="K237" s="60"/>
      <c r="L237" s="60"/>
      <c r="M237" s="60"/>
      <c r="N237" s="60"/>
      <c r="O237" s="60"/>
      <c r="P237" s="60"/>
      <c r="Q237" s="60"/>
      <c r="R237" s="60"/>
      <c r="S237" s="60"/>
      <c r="T237" s="60"/>
      <c r="U237" s="60"/>
      <c r="V237" s="60"/>
      <c r="W237" s="60"/>
    </row>
    <row r="238" spans="7:23" x14ac:dyDescent="0.25">
      <c r="G238" s="60"/>
      <c r="H238" s="60"/>
      <c r="I238" s="60"/>
      <c r="J238" s="60"/>
      <c r="K238" s="60"/>
      <c r="L238" s="60"/>
      <c r="M238" s="60"/>
      <c r="N238" s="60"/>
      <c r="O238" s="60"/>
      <c r="P238" s="60"/>
      <c r="Q238" s="60"/>
      <c r="R238" s="60"/>
      <c r="S238" s="60"/>
      <c r="T238" s="60"/>
      <c r="U238" s="60"/>
      <c r="V238" s="60"/>
      <c r="W238" s="60"/>
    </row>
    <row r="239" spans="7:23" x14ac:dyDescent="0.25">
      <c r="G239" s="60"/>
      <c r="H239" s="60"/>
      <c r="I239" s="60"/>
      <c r="J239" s="60"/>
      <c r="K239" s="60"/>
      <c r="L239" s="60"/>
      <c r="M239" s="60"/>
      <c r="N239" s="60"/>
      <c r="O239" s="60"/>
      <c r="P239" s="60"/>
      <c r="Q239" s="60"/>
      <c r="R239" s="60"/>
      <c r="S239" s="60"/>
      <c r="T239" s="60"/>
      <c r="U239" s="60"/>
      <c r="V239" s="60"/>
      <c r="W239" s="60"/>
    </row>
    <row r="240" spans="7:23" x14ac:dyDescent="0.25">
      <c r="G240" s="60"/>
      <c r="H240" s="60"/>
      <c r="I240" s="60"/>
      <c r="J240" s="60"/>
      <c r="K240" s="60"/>
      <c r="L240" s="60"/>
      <c r="M240" s="60"/>
      <c r="N240" s="60"/>
      <c r="O240" s="60"/>
      <c r="P240" s="60"/>
      <c r="Q240" s="60"/>
      <c r="R240" s="60"/>
      <c r="S240" s="60"/>
      <c r="T240" s="60"/>
      <c r="U240" s="60"/>
      <c r="V240" s="60"/>
      <c r="W240" s="60"/>
    </row>
    <row r="241" spans="7:23" x14ac:dyDescent="0.25">
      <c r="G241" s="60"/>
      <c r="H241" s="60"/>
      <c r="I241" s="60"/>
      <c r="J241" s="60"/>
      <c r="K241" s="60"/>
      <c r="L241" s="60"/>
      <c r="M241" s="60"/>
      <c r="N241" s="60"/>
      <c r="O241" s="60"/>
      <c r="P241" s="60"/>
      <c r="Q241" s="60"/>
      <c r="R241" s="60"/>
      <c r="S241" s="60"/>
      <c r="T241" s="60"/>
      <c r="U241" s="60"/>
      <c r="V241" s="60"/>
      <c r="W241" s="60"/>
    </row>
    <row r="242" spans="7:23" x14ac:dyDescent="0.25">
      <c r="G242" s="60"/>
      <c r="H242" s="60"/>
      <c r="I242" s="60"/>
      <c r="J242" s="60"/>
      <c r="K242" s="60"/>
      <c r="L242" s="60"/>
      <c r="M242" s="60"/>
      <c r="N242" s="60"/>
      <c r="O242" s="60"/>
      <c r="P242" s="60"/>
      <c r="Q242" s="60"/>
      <c r="R242" s="60"/>
      <c r="S242" s="60"/>
      <c r="T242" s="60"/>
      <c r="U242" s="60"/>
      <c r="V242" s="60"/>
      <c r="W242" s="60"/>
    </row>
    <row r="243" spans="7:23" x14ac:dyDescent="0.25">
      <c r="G243" s="60"/>
      <c r="H243" s="60"/>
      <c r="I243" s="60"/>
      <c r="J243" s="60"/>
      <c r="K243" s="60"/>
      <c r="L243" s="60"/>
      <c r="M243" s="60"/>
      <c r="N243" s="60"/>
      <c r="O243" s="60"/>
      <c r="P243" s="60"/>
      <c r="Q243" s="60"/>
      <c r="R243" s="60"/>
      <c r="S243" s="60"/>
      <c r="T243" s="60"/>
      <c r="U243" s="60"/>
      <c r="V243" s="60"/>
      <c r="W243" s="60"/>
    </row>
    <row r="244" spans="7:23" x14ac:dyDescent="0.25">
      <c r="G244" s="60"/>
      <c r="H244" s="60"/>
      <c r="I244" s="60"/>
      <c r="J244" s="60"/>
      <c r="K244" s="60"/>
      <c r="L244" s="60"/>
      <c r="M244" s="60"/>
      <c r="N244" s="60"/>
      <c r="O244" s="60"/>
      <c r="P244" s="60"/>
      <c r="Q244" s="60"/>
      <c r="R244" s="60"/>
      <c r="S244" s="60"/>
      <c r="T244" s="60"/>
      <c r="U244" s="60"/>
      <c r="V244" s="60"/>
      <c r="W244" s="60"/>
    </row>
    <row r="245" spans="7:23" x14ac:dyDescent="0.25">
      <c r="G245" s="60"/>
      <c r="H245" s="60"/>
      <c r="I245" s="60"/>
      <c r="J245" s="60"/>
      <c r="K245" s="60"/>
      <c r="L245" s="60"/>
      <c r="M245" s="60"/>
      <c r="N245" s="60"/>
      <c r="O245" s="60"/>
      <c r="P245" s="60"/>
      <c r="Q245" s="60"/>
      <c r="R245" s="60"/>
      <c r="S245" s="60"/>
      <c r="T245" s="60"/>
      <c r="U245" s="60"/>
      <c r="V245" s="60"/>
      <c r="W245" s="60"/>
    </row>
    <row r="246" spans="7:23" x14ac:dyDescent="0.25">
      <c r="G246" s="60"/>
      <c r="H246" s="60"/>
      <c r="I246" s="60"/>
      <c r="J246" s="60"/>
      <c r="K246" s="60"/>
      <c r="L246" s="60"/>
      <c r="M246" s="60"/>
      <c r="N246" s="60"/>
      <c r="O246" s="60"/>
      <c r="P246" s="60"/>
      <c r="Q246" s="60"/>
      <c r="R246" s="60"/>
      <c r="S246" s="60"/>
      <c r="T246" s="60"/>
      <c r="U246" s="60"/>
      <c r="V246" s="60"/>
      <c r="W246" s="60"/>
    </row>
    <row r="247" spans="7:23" x14ac:dyDescent="0.25">
      <c r="G247" s="60"/>
      <c r="H247" s="60"/>
      <c r="I247" s="60"/>
      <c r="J247" s="60"/>
      <c r="K247" s="60"/>
      <c r="L247" s="60"/>
      <c r="M247" s="60"/>
      <c r="N247" s="60"/>
      <c r="O247" s="60"/>
      <c r="P247" s="60"/>
      <c r="Q247" s="60"/>
      <c r="R247" s="60"/>
      <c r="S247" s="60"/>
      <c r="T247" s="60"/>
      <c r="U247" s="60"/>
      <c r="V247" s="60"/>
      <c r="W247" s="60"/>
    </row>
    <row r="248" spans="7:23" x14ac:dyDescent="0.25">
      <c r="G248" s="60"/>
      <c r="H248" s="60"/>
      <c r="I248" s="60"/>
      <c r="J248" s="60"/>
      <c r="K248" s="60"/>
      <c r="L248" s="60"/>
      <c r="M248" s="60"/>
      <c r="N248" s="60"/>
      <c r="O248" s="60"/>
      <c r="P248" s="60"/>
      <c r="Q248" s="60"/>
      <c r="R248" s="60"/>
      <c r="S248" s="60"/>
      <c r="T248" s="60"/>
      <c r="U248" s="60"/>
      <c r="V248" s="60"/>
      <c r="W248" s="60"/>
    </row>
    <row r="249" spans="7:23" x14ac:dyDescent="0.25">
      <c r="G249" s="60"/>
      <c r="H249" s="60"/>
      <c r="I249" s="60"/>
      <c r="J249" s="60"/>
      <c r="K249" s="60"/>
      <c r="L249" s="60"/>
      <c r="M249" s="60"/>
      <c r="N249" s="60"/>
      <c r="O249" s="60"/>
      <c r="P249" s="60"/>
      <c r="Q249" s="60"/>
      <c r="R249" s="60"/>
      <c r="S249" s="60"/>
      <c r="T249" s="60"/>
      <c r="U249" s="60"/>
      <c r="V249" s="60"/>
      <c r="W249" s="60"/>
    </row>
    <row r="250" spans="7:23" x14ac:dyDescent="0.25">
      <c r="G250" s="60"/>
      <c r="H250" s="60"/>
      <c r="I250" s="60"/>
      <c r="J250" s="60"/>
      <c r="K250" s="60"/>
      <c r="L250" s="60"/>
      <c r="M250" s="60"/>
      <c r="N250" s="60"/>
      <c r="O250" s="60"/>
      <c r="P250" s="60"/>
      <c r="Q250" s="60"/>
      <c r="R250" s="60"/>
      <c r="S250" s="60"/>
      <c r="T250" s="60"/>
      <c r="U250" s="60"/>
      <c r="V250" s="60"/>
      <c r="W250" s="60"/>
    </row>
    <row r="251" spans="7:23" x14ac:dyDescent="0.25">
      <c r="G251" s="60"/>
      <c r="H251" s="60"/>
      <c r="I251" s="60"/>
      <c r="J251" s="60"/>
      <c r="K251" s="60"/>
      <c r="L251" s="60"/>
      <c r="M251" s="60"/>
      <c r="N251" s="60"/>
      <c r="O251" s="60"/>
      <c r="P251" s="60"/>
      <c r="Q251" s="60"/>
      <c r="R251" s="60"/>
      <c r="S251" s="60"/>
      <c r="T251" s="60"/>
      <c r="U251" s="60"/>
      <c r="V251" s="60"/>
      <c r="W251" s="60"/>
    </row>
    <row r="252" spans="7:23" x14ac:dyDescent="0.25">
      <c r="G252" s="60"/>
      <c r="H252" s="60"/>
      <c r="I252" s="60"/>
      <c r="J252" s="60"/>
      <c r="K252" s="60"/>
      <c r="L252" s="60"/>
      <c r="M252" s="60"/>
      <c r="N252" s="60"/>
      <c r="O252" s="60"/>
      <c r="P252" s="60"/>
      <c r="Q252" s="60"/>
      <c r="R252" s="60"/>
      <c r="S252" s="60"/>
      <c r="T252" s="60"/>
      <c r="U252" s="60"/>
      <c r="V252" s="60"/>
      <c r="W252" s="60"/>
    </row>
    <row r="253" spans="7:23" x14ac:dyDescent="0.25">
      <c r="G253" s="60"/>
      <c r="H253" s="60"/>
      <c r="I253" s="60"/>
      <c r="J253" s="60"/>
      <c r="K253" s="60"/>
      <c r="L253" s="60"/>
      <c r="M253" s="60"/>
      <c r="N253" s="60"/>
      <c r="O253" s="60"/>
      <c r="P253" s="60"/>
      <c r="Q253" s="60"/>
      <c r="R253" s="60"/>
      <c r="S253" s="60"/>
      <c r="T253" s="60"/>
      <c r="U253" s="60"/>
      <c r="V253" s="60"/>
      <c r="W253" s="60"/>
    </row>
    <row r="254" spans="7:23" x14ac:dyDescent="0.25">
      <c r="G254" s="60"/>
      <c r="H254" s="60"/>
      <c r="I254" s="60"/>
      <c r="J254" s="60"/>
      <c r="K254" s="60"/>
      <c r="L254" s="60"/>
      <c r="M254" s="60"/>
      <c r="N254" s="60"/>
      <c r="O254" s="60"/>
      <c r="P254" s="60"/>
      <c r="Q254" s="60"/>
      <c r="R254" s="60"/>
      <c r="S254" s="60"/>
      <c r="T254" s="60"/>
      <c r="U254" s="60"/>
      <c r="V254" s="60"/>
      <c r="W254" s="60"/>
    </row>
    <row r="255" spans="7:23" x14ac:dyDescent="0.25">
      <c r="G255" s="60"/>
      <c r="H255" s="60"/>
      <c r="I255" s="60"/>
      <c r="J255" s="60"/>
      <c r="K255" s="60"/>
      <c r="L255" s="60"/>
      <c r="M255" s="60"/>
      <c r="N255" s="60"/>
      <c r="O255" s="60"/>
      <c r="P255" s="60"/>
      <c r="Q255" s="60"/>
      <c r="R255" s="60"/>
      <c r="S255" s="60"/>
      <c r="T255" s="60"/>
      <c r="U255" s="60"/>
      <c r="V255" s="60"/>
      <c r="W255" s="60"/>
    </row>
    <row r="256" spans="7:23" x14ac:dyDescent="0.25">
      <c r="G256" s="60"/>
      <c r="H256" s="60"/>
      <c r="I256" s="60"/>
      <c r="J256" s="60"/>
      <c r="K256" s="60"/>
      <c r="L256" s="60"/>
      <c r="M256" s="60"/>
      <c r="N256" s="60"/>
      <c r="O256" s="60"/>
      <c r="P256" s="60"/>
      <c r="Q256" s="60"/>
      <c r="R256" s="60"/>
      <c r="S256" s="60"/>
      <c r="T256" s="60"/>
      <c r="U256" s="60"/>
      <c r="V256" s="60"/>
      <c r="W256" s="60"/>
    </row>
    <row r="257" spans="7:23" x14ac:dyDescent="0.25">
      <c r="G257" s="60"/>
      <c r="H257" s="60"/>
      <c r="I257" s="60"/>
      <c r="J257" s="60"/>
      <c r="K257" s="60"/>
      <c r="L257" s="60"/>
      <c r="M257" s="60"/>
      <c r="N257" s="60"/>
      <c r="O257" s="60"/>
      <c r="P257" s="60"/>
      <c r="Q257" s="60"/>
      <c r="R257" s="60"/>
      <c r="S257" s="60"/>
      <c r="T257" s="60"/>
      <c r="U257" s="60"/>
      <c r="V257" s="60"/>
      <c r="W257" s="60"/>
    </row>
    <row r="258" spans="7:23" x14ac:dyDescent="0.25">
      <c r="G258" s="60"/>
      <c r="H258" s="60"/>
      <c r="I258" s="60"/>
      <c r="J258" s="60"/>
      <c r="K258" s="60"/>
      <c r="L258" s="60"/>
      <c r="M258" s="60"/>
      <c r="N258" s="60"/>
      <c r="O258" s="60"/>
      <c r="P258" s="60"/>
      <c r="Q258" s="60"/>
      <c r="R258" s="60"/>
      <c r="S258" s="60"/>
      <c r="T258" s="60"/>
      <c r="U258" s="60"/>
      <c r="V258" s="60"/>
      <c r="W258" s="60"/>
    </row>
    <row r="259" spans="7:23" x14ac:dyDescent="0.25">
      <c r="G259" s="60"/>
      <c r="H259" s="60"/>
      <c r="I259" s="60"/>
      <c r="J259" s="60"/>
      <c r="K259" s="60"/>
      <c r="L259" s="60"/>
      <c r="M259" s="60"/>
      <c r="N259" s="60"/>
      <c r="O259" s="60"/>
      <c r="P259" s="60"/>
      <c r="Q259" s="60"/>
      <c r="R259" s="60"/>
      <c r="S259" s="60"/>
      <c r="T259" s="60"/>
      <c r="U259" s="60"/>
      <c r="V259" s="60"/>
      <c r="W259" s="60"/>
    </row>
    <row r="260" spans="7:23" x14ac:dyDescent="0.25">
      <c r="G260" s="60"/>
      <c r="H260" s="60"/>
      <c r="I260" s="60"/>
      <c r="J260" s="60"/>
      <c r="K260" s="60"/>
      <c r="L260" s="60"/>
      <c r="M260" s="60"/>
      <c r="N260" s="60"/>
      <c r="O260" s="60"/>
      <c r="P260" s="60"/>
      <c r="Q260" s="60"/>
      <c r="R260" s="60"/>
      <c r="S260" s="60"/>
      <c r="T260" s="60"/>
      <c r="U260" s="60"/>
      <c r="V260" s="60"/>
      <c r="W260" s="60"/>
    </row>
    <row r="261" spans="7:23" x14ac:dyDescent="0.25">
      <c r="G261" s="60"/>
      <c r="H261" s="60"/>
      <c r="I261" s="60"/>
      <c r="J261" s="60"/>
      <c r="K261" s="60"/>
      <c r="L261" s="60"/>
      <c r="M261" s="60"/>
      <c r="N261" s="60"/>
      <c r="O261" s="60"/>
      <c r="P261" s="60"/>
      <c r="Q261" s="60"/>
      <c r="R261" s="60"/>
      <c r="S261" s="60"/>
      <c r="T261" s="60"/>
      <c r="U261" s="60"/>
      <c r="V261" s="60"/>
      <c r="W261" s="60"/>
    </row>
    <row r="262" spans="7:23" x14ac:dyDescent="0.25">
      <c r="G262" s="60"/>
      <c r="H262" s="60"/>
      <c r="I262" s="60"/>
      <c r="J262" s="60"/>
      <c r="K262" s="60"/>
      <c r="L262" s="60"/>
      <c r="M262" s="60"/>
      <c r="N262" s="60"/>
      <c r="O262" s="60"/>
      <c r="P262" s="60"/>
      <c r="Q262" s="60"/>
      <c r="R262" s="60"/>
      <c r="S262" s="60"/>
      <c r="T262" s="60"/>
      <c r="U262" s="60"/>
      <c r="V262" s="60"/>
      <c r="W262" s="60"/>
    </row>
    <row r="263" spans="7:23" x14ac:dyDescent="0.25">
      <c r="G263" s="60"/>
      <c r="H263" s="60"/>
      <c r="I263" s="60"/>
      <c r="J263" s="60"/>
      <c r="K263" s="60"/>
      <c r="L263" s="60"/>
      <c r="M263" s="60"/>
      <c r="N263" s="60"/>
      <c r="O263" s="60"/>
      <c r="P263" s="60"/>
      <c r="Q263" s="60"/>
      <c r="R263" s="60"/>
      <c r="S263" s="60"/>
      <c r="T263" s="60"/>
      <c r="U263" s="60"/>
      <c r="V263" s="60"/>
      <c r="W263" s="60"/>
    </row>
    <row r="264" spans="7:23" x14ac:dyDescent="0.25">
      <c r="G264" s="60"/>
      <c r="H264" s="60"/>
      <c r="I264" s="60"/>
      <c r="J264" s="60"/>
      <c r="K264" s="60"/>
      <c r="L264" s="60"/>
      <c r="M264" s="60"/>
      <c r="N264" s="60"/>
      <c r="O264" s="60"/>
      <c r="P264" s="60"/>
      <c r="Q264" s="60"/>
      <c r="R264" s="60"/>
      <c r="S264" s="60"/>
      <c r="T264" s="60"/>
      <c r="U264" s="60"/>
      <c r="V264" s="60"/>
      <c r="W264" s="60"/>
    </row>
    <row r="265" spans="7:23" x14ac:dyDescent="0.25">
      <c r="G265" s="60"/>
      <c r="H265" s="60"/>
      <c r="I265" s="60"/>
      <c r="J265" s="60"/>
      <c r="K265" s="60"/>
      <c r="L265" s="60"/>
      <c r="M265" s="60"/>
      <c r="N265" s="60"/>
      <c r="O265" s="60"/>
      <c r="P265" s="60"/>
      <c r="Q265" s="60"/>
      <c r="R265" s="60"/>
      <c r="S265" s="60"/>
      <c r="T265" s="60"/>
      <c r="U265" s="60"/>
      <c r="V265" s="60"/>
      <c r="W265" s="60"/>
    </row>
    <row r="266" spans="7:23" x14ac:dyDescent="0.25">
      <c r="G266" s="60"/>
      <c r="H266" s="60"/>
      <c r="I266" s="60"/>
      <c r="J266" s="60"/>
      <c r="K266" s="60"/>
      <c r="L266" s="60"/>
      <c r="M266" s="60"/>
      <c r="N266" s="60"/>
      <c r="O266" s="60"/>
      <c r="P266" s="60"/>
      <c r="Q266" s="60"/>
      <c r="R266" s="60"/>
      <c r="S266" s="60"/>
      <c r="T266" s="60"/>
      <c r="U266" s="60"/>
      <c r="V266" s="60"/>
      <c r="W266" s="60"/>
    </row>
    <row r="267" spans="7:23" x14ac:dyDescent="0.25">
      <c r="G267" s="60"/>
      <c r="H267" s="60"/>
      <c r="I267" s="60"/>
      <c r="J267" s="60"/>
      <c r="K267" s="60"/>
      <c r="L267" s="60"/>
      <c r="M267" s="60"/>
      <c r="N267" s="60"/>
      <c r="O267" s="60"/>
      <c r="P267" s="60"/>
      <c r="Q267" s="60"/>
      <c r="R267" s="60"/>
      <c r="S267" s="60"/>
      <c r="T267" s="60"/>
      <c r="U267" s="60"/>
      <c r="V267" s="60"/>
      <c r="W267" s="60"/>
    </row>
    <row r="268" spans="7:23" x14ac:dyDescent="0.25">
      <c r="G268" s="60"/>
      <c r="H268" s="60"/>
      <c r="I268" s="60"/>
      <c r="J268" s="60"/>
      <c r="K268" s="60"/>
      <c r="L268" s="60"/>
      <c r="M268" s="60"/>
      <c r="N268" s="60"/>
      <c r="O268" s="60"/>
      <c r="P268" s="60"/>
      <c r="Q268" s="60"/>
      <c r="R268" s="60"/>
      <c r="S268" s="60"/>
      <c r="T268" s="60"/>
      <c r="U268" s="60"/>
      <c r="V268" s="60"/>
      <c r="W268" s="60"/>
    </row>
    <row r="269" spans="7:23" x14ac:dyDescent="0.25">
      <c r="G269" s="60"/>
      <c r="H269" s="60"/>
      <c r="I269" s="60"/>
      <c r="J269" s="60"/>
      <c r="K269" s="60"/>
      <c r="L269" s="60"/>
      <c r="M269" s="60"/>
      <c r="N269" s="60"/>
      <c r="O269" s="60"/>
      <c r="P269" s="60"/>
      <c r="Q269" s="60"/>
      <c r="R269" s="60"/>
      <c r="S269" s="60"/>
      <c r="T269" s="60"/>
      <c r="U269" s="60"/>
      <c r="V269" s="60"/>
      <c r="W269" s="60"/>
    </row>
    <row r="270" spans="7:23" x14ac:dyDescent="0.25">
      <c r="G270" s="60"/>
      <c r="H270" s="60"/>
      <c r="I270" s="60"/>
      <c r="J270" s="60"/>
      <c r="K270" s="60"/>
      <c r="L270" s="60"/>
      <c r="M270" s="60"/>
      <c r="N270" s="60"/>
      <c r="O270" s="60"/>
      <c r="P270" s="60"/>
      <c r="Q270" s="60"/>
      <c r="R270" s="60"/>
      <c r="S270" s="60"/>
      <c r="T270" s="60"/>
      <c r="U270" s="60"/>
      <c r="V270" s="60"/>
      <c r="W270" s="60"/>
    </row>
    <row r="271" spans="7:23" x14ac:dyDescent="0.25">
      <c r="G271" s="60"/>
      <c r="H271" s="60"/>
      <c r="I271" s="60"/>
      <c r="J271" s="60"/>
      <c r="K271" s="60"/>
      <c r="L271" s="60"/>
      <c r="M271" s="60"/>
      <c r="N271" s="60"/>
      <c r="O271" s="60"/>
      <c r="P271" s="60"/>
      <c r="Q271" s="60"/>
      <c r="R271" s="60"/>
      <c r="S271" s="60"/>
      <c r="T271" s="60"/>
      <c r="U271" s="60"/>
      <c r="V271" s="60"/>
      <c r="W271" s="60"/>
    </row>
    <row r="272" spans="7:23" x14ac:dyDescent="0.25">
      <c r="G272" s="60"/>
      <c r="H272" s="60"/>
      <c r="I272" s="60"/>
      <c r="J272" s="60"/>
      <c r="K272" s="60"/>
      <c r="L272" s="60"/>
      <c r="M272" s="60"/>
      <c r="N272" s="60"/>
      <c r="O272" s="60"/>
      <c r="P272" s="60"/>
      <c r="Q272" s="60"/>
      <c r="R272" s="60"/>
      <c r="S272" s="60"/>
      <c r="T272" s="60"/>
      <c r="U272" s="60"/>
      <c r="V272" s="60"/>
      <c r="W272" s="60"/>
    </row>
    <row r="273" spans="7:23" x14ac:dyDescent="0.25">
      <c r="G273" s="60"/>
      <c r="H273" s="60"/>
      <c r="I273" s="60"/>
      <c r="J273" s="60"/>
      <c r="K273" s="60"/>
      <c r="L273" s="60"/>
      <c r="M273" s="60"/>
      <c r="N273" s="60"/>
      <c r="O273" s="60"/>
      <c r="P273" s="60"/>
      <c r="Q273" s="60"/>
      <c r="R273" s="60"/>
      <c r="S273" s="60"/>
      <c r="T273" s="60"/>
      <c r="U273" s="60"/>
      <c r="V273" s="60"/>
      <c r="W273" s="60"/>
    </row>
    <row r="274" spans="7:23" x14ac:dyDescent="0.25">
      <c r="G274" s="60"/>
      <c r="H274" s="60"/>
      <c r="I274" s="60"/>
      <c r="J274" s="60"/>
      <c r="K274" s="60"/>
      <c r="L274" s="60"/>
      <c r="M274" s="60"/>
      <c r="N274" s="60"/>
      <c r="O274" s="60"/>
      <c r="P274" s="60"/>
      <c r="Q274" s="60"/>
      <c r="R274" s="60"/>
      <c r="S274" s="60"/>
      <c r="T274" s="60"/>
      <c r="U274" s="60"/>
      <c r="V274" s="60"/>
      <c r="W274" s="60"/>
    </row>
    <row r="275" spans="7:23" x14ac:dyDescent="0.25">
      <c r="G275" s="60"/>
      <c r="H275" s="60"/>
      <c r="I275" s="60"/>
      <c r="J275" s="60"/>
      <c r="K275" s="60"/>
      <c r="L275" s="60"/>
      <c r="M275" s="60"/>
      <c r="N275" s="60"/>
      <c r="O275" s="60"/>
      <c r="P275" s="60"/>
      <c r="Q275" s="60"/>
      <c r="R275" s="60"/>
      <c r="S275" s="60"/>
      <c r="T275" s="60"/>
      <c r="U275" s="60"/>
      <c r="V275" s="60"/>
      <c r="W275" s="60"/>
    </row>
    <row r="276" spans="7:23" x14ac:dyDescent="0.25">
      <c r="G276" s="60"/>
      <c r="H276" s="60"/>
      <c r="I276" s="60"/>
      <c r="J276" s="60"/>
      <c r="K276" s="60"/>
      <c r="L276" s="60"/>
      <c r="M276" s="60"/>
      <c r="N276" s="60"/>
      <c r="O276" s="60"/>
      <c r="P276" s="60"/>
      <c r="Q276" s="60"/>
      <c r="R276" s="60"/>
      <c r="S276" s="60"/>
      <c r="T276" s="60"/>
      <c r="U276" s="60"/>
      <c r="V276" s="60"/>
      <c r="W276" s="60"/>
    </row>
    <row r="277" spans="7:23" x14ac:dyDescent="0.25">
      <c r="G277" s="60"/>
      <c r="H277" s="60"/>
      <c r="I277" s="60"/>
      <c r="J277" s="60"/>
      <c r="K277" s="60"/>
      <c r="L277" s="60"/>
      <c r="M277" s="60"/>
      <c r="N277" s="60"/>
      <c r="O277" s="60"/>
      <c r="P277" s="60"/>
      <c r="Q277" s="60"/>
      <c r="R277" s="60"/>
      <c r="S277" s="60"/>
      <c r="T277" s="60"/>
      <c r="U277" s="60"/>
      <c r="V277" s="60"/>
      <c r="W277" s="60"/>
    </row>
    <row r="278" spans="7:23" x14ac:dyDescent="0.25">
      <c r="G278" s="60"/>
      <c r="H278" s="60"/>
      <c r="I278" s="60"/>
      <c r="J278" s="60"/>
      <c r="K278" s="60"/>
      <c r="L278" s="60"/>
      <c r="M278" s="60"/>
      <c r="N278" s="60"/>
      <c r="O278" s="60"/>
      <c r="P278" s="60"/>
      <c r="Q278" s="60"/>
      <c r="R278" s="60"/>
      <c r="S278" s="60"/>
      <c r="T278" s="60"/>
      <c r="U278" s="60"/>
      <c r="V278" s="60"/>
      <c r="W278" s="60"/>
    </row>
    <row r="279" spans="7:23" x14ac:dyDescent="0.25">
      <c r="G279" s="60"/>
      <c r="H279" s="60"/>
      <c r="I279" s="60"/>
      <c r="J279" s="60"/>
      <c r="K279" s="60"/>
      <c r="L279" s="60"/>
      <c r="M279" s="60"/>
      <c r="N279" s="60"/>
      <c r="O279" s="60"/>
      <c r="P279" s="60"/>
      <c r="Q279" s="60"/>
      <c r="R279" s="60"/>
      <c r="S279" s="60"/>
      <c r="T279" s="60"/>
      <c r="U279" s="60"/>
      <c r="V279" s="60"/>
      <c r="W279" s="60"/>
    </row>
    <row r="280" spans="7:23" x14ac:dyDescent="0.25">
      <c r="G280" s="60"/>
      <c r="H280" s="60"/>
      <c r="I280" s="60"/>
      <c r="J280" s="60"/>
      <c r="K280" s="60"/>
      <c r="L280" s="60"/>
      <c r="M280" s="60"/>
      <c r="N280" s="60"/>
      <c r="O280" s="60"/>
      <c r="P280" s="60"/>
      <c r="Q280" s="60"/>
      <c r="R280" s="60"/>
      <c r="S280" s="60"/>
      <c r="T280" s="60"/>
      <c r="U280" s="60"/>
      <c r="V280" s="60"/>
      <c r="W280" s="60"/>
    </row>
    <row r="281" spans="7:23" x14ac:dyDescent="0.25">
      <c r="G281" s="60"/>
      <c r="H281" s="60"/>
      <c r="I281" s="60"/>
      <c r="J281" s="60"/>
      <c r="K281" s="60"/>
      <c r="L281" s="60"/>
      <c r="M281" s="60"/>
      <c r="N281" s="60"/>
      <c r="O281" s="60"/>
      <c r="P281" s="60"/>
      <c r="Q281" s="60"/>
      <c r="R281" s="60"/>
      <c r="S281" s="60"/>
      <c r="T281" s="60"/>
      <c r="U281" s="60"/>
      <c r="V281" s="60"/>
      <c r="W281" s="60"/>
    </row>
    <row r="282" spans="7:23" x14ac:dyDescent="0.25">
      <c r="G282" s="60"/>
      <c r="H282" s="60"/>
      <c r="I282" s="60"/>
      <c r="J282" s="60"/>
      <c r="K282" s="60"/>
      <c r="L282" s="60"/>
      <c r="M282" s="60"/>
      <c r="N282" s="60"/>
      <c r="O282" s="60"/>
      <c r="P282" s="60"/>
      <c r="Q282" s="60"/>
      <c r="R282" s="60"/>
      <c r="S282" s="60"/>
      <c r="T282" s="60"/>
      <c r="U282" s="60"/>
      <c r="V282" s="60"/>
      <c r="W282" s="60"/>
    </row>
    <row r="283" spans="7:23" x14ac:dyDescent="0.25">
      <c r="G283" s="60"/>
      <c r="H283" s="60"/>
      <c r="I283" s="60"/>
      <c r="J283" s="60"/>
      <c r="K283" s="60"/>
      <c r="L283" s="60"/>
      <c r="M283" s="60"/>
      <c r="N283" s="60"/>
      <c r="O283" s="60"/>
      <c r="P283" s="60"/>
      <c r="Q283" s="60"/>
      <c r="R283" s="60"/>
      <c r="S283" s="60"/>
      <c r="T283" s="60"/>
      <c r="U283" s="60"/>
      <c r="V283" s="60"/>
      <c r="W283" s="60"/>
    </row>
    <row r="284" spans="7:23" x14ac:dyDescent="0.25">
      <c r="G284" s="60"/>
      <c r="H284" s="60"/>
      <c r="I284" s="60"/>
      <c r="J284" s="60"/>
      <c r="K284" s="60"/>
      <c r="L284" s="60"/>
      <c r="M284" s="60"/>
      <c r="N284" s="60"/>
      <c r="O284" s="60"/>
      <c r="P284" s="60"/>
      <c r="Q284" s="60"/>
      <c r="R284" s="60"/>
      <c r="S284" s="60"/>
      <c r="T284" s="60"/>
      <c r="U284" s="60"/>
      <c r="V284" s="60"/>
      <c r="W284" s="60"/>
    </row>
    <row r="285" spans="7:23" x14ac:dyDescent="0.25">
      <c r="G285" s="60"/>
      <c r="H285" s="60"/>
      <c r="I285" s="60"/>
      <c r="J285" s="60"/>
      <c r="K285" s="60"/>
      <c r="L285" s="60"/>
      <c r="M285" s="60"/>
      <c r="N285" s="60"/>
      <c r="O285" s="60"/>
      <c r="P285" s="60"/>
      <c r="Q285" s="60"/>
      <c r="R285" s="60"/>
      <c r="S285" s="60"/>
      <c r="T285" s="60"/>
      <c r="U285" s="60"/>
      <c r="V285" s="60"/>
      <c r="W285" s="60"/>
    </row>
    <row r="286" spans="7:23" x14ac:dyDescent="0.25">
      <c r="G286" s="60"/>
      <c r="H286" s="60"/>
      <c r="I286" s="60"/>
      <c r="J286" s="60"/>
      <c r="K286" s="60"/>
      <c r="L286" s="60"/>
      <c r="M286" s="60"/>
      <c r="N286" s="60"/>
      <c r="O286" s="60"/>
      <c r="P286" s="60"/>
      <c r="Q286" s="60"/>
      <c r="R286" s="60"/>
      <c r="S286" s="60"/>
      <c r="T286" s="60"/>
      <c r="U286" s="60"/>
      <c r="V286" s="60"/>
      <c r="W286" s="60"/>
    </row>
    <row r="287" spans="7:23" x14ac:dyDescent="0.25">
      <c r="G287" s="60"/>
      <c r="H287" s="60"/>
      <c r="I287" s="60"/>
      <c r="J287" s="60"/>
      <c r="K287" s="60"/>
      <c r="L287" s="60"/>
      <c r="M287" s="60"/>
      <c r="N287" s="60"/>
      <c r="O287" s="60"/>
      <c r="P287" s="60"/>
      <c r="Q287" s="60"/>
      <c r="R287" s="60"/>
      <c r="S287" s="60"/>
      <c r="T287" s="60"/>
      <c r="U287" s="60"/>
      <c r="V287" s="60"/>
      <c r="W287" s="60"/>
    </row>
    <row r="288" spans="7:23" x14ac:dyDescent="0.25">
      <c r="G288" s="60"/>
      <c r="H288" s="60"/>
      <c r="I288" s="60"/>
      <c r="J288" s="60"/>
      <c r="K288" s="60"/>
      <c r="L288" s="60"/>
      <c r="M288" s="60"/>
      <c r="N288" s="60"/>
      <c r="O288" s="60"/>
      <c r="P288" s="60"/>
      <c r="Q288" s="60"/>
      <c r="R288" s="60"/>
      <c r="S288" s="60"/>
      <c r="T288" s="60"/>
      <c r="U288" s="60"/>
      <c r="V288" s="60"/>
      <c r="W288" s="60"/>
    </row>
    <row r="289" spans="7:23" x14ac:dyDescent="0.25">
      <c r="G289" s="60"/>
      <c r="H289" s="60"/>
      <c r="I289" s="60"/>
      <c r="J289" s="60"/>
      <c r="K289" s="60"/>
      <c r="L289" s="60"/>
      <c r="M289" s="60"/>
      <c r="N289" s="60"/>
      <c r="O289" s="60"/>
      <c r="P289" s="60"/>
      <c r="Q289" s="60"/>
      <c r="R289" s="60"/>
      <c r="S289" s="60"/>
      <c r="T289" s="60"/>
      <c r="U289" s="60"/>
      <c r="V289" s="60"/>
      <c r="W289" s="60"/>
    </row>
    <row r="290" spans="7:23" x14ac:dyDescent="0.25">
      <c r="G290" s="60"/>
      <c r="H290" s="60"/>
      <c r="I290" s="60"/>
      <c r="J290" s="60"/>
      <c r="K290" s="60"/>
      <c r="L290" s="60"/>
      <c r="M290" s="60"/>
      <c r="N290" s="60"/>
      <c r="O290" s="60"/>
      <c r="P290" s="60"/>
      <c r="Q290" s="60"/>
      <c r="R290" s="60"/>
      <c r="S290" s="60"/>
      <c r="T290" s="60"/>
      <c r="U290" s="60"/>
      <c r="V290" s="60"/>
      <c r="W290" s="60"/>
    </row>
    <row r="291" spans="7:23" x14ac:dyDescent="0.25">
      <c r="G291" s="60"/>
      <c r="H291" s="60"/>
      <c r="I291" s="60"/>
      <c r="J291" s="60"/>
      <c r="K291" s="60"/>
      <c r="L291" s="60"/>
      <c r="M291" s="60"/>
      <c r="N291" s="60"/>
      <c r="O291" s="60"/>
      <c r="P291" s="60"/>
      <c r="Q291" s="60"/>
      <c r="R291" s="60"/>
      <c r="S291" s="60"/>
      <c r="T291" s="60"/>
      <c r="U291" s="60"/>
      <c r="V291" s="60"/>
      <c r="W291" s="60"/>
    </row>
    <row r="292" spans="7:23" x14ac:dyDescent="0.25">
      <c r="G292" s="60"/>
      <c r="H292" s="60"/>
      <c r="I292" s="60"/>
      <c r="J292" s="60"/>
      <c r="K292" s="60"/>
      <c r="L292" s="60"/>
      <c r="M292" s="60"/>
      <c r="N292" s="60"/>
      <c r="O292" s="60"/>
      <c r="P292" s="60"/>
      <c r="Q292" s="60"/>
      <c r="R292" s="60"/>
      <c r="S292" s="60"/>
      <c r="T292" s="60"/>
      <c r="U292" s="60"/>
      <c r="V292" s="60"/>
      <c r="W292" s="60"/>
    </row>
    <row r="293" spans="7:23" x14ac:dyDescent="0.25">
      <c r="G293" s="60"/>
      <c r="H293" s="60"/>
      <c r="I293" s="60"/>
      <c r="J293" s="60"/>
      <c r="K293" s="60"/>
      <c r="L293" s="60"/>
      <c r="M293" s="60"/>
      <c r="N293" s="60"/>
      <c r="O293" s="60"/>
      <c r="P293" s="60"/>
      <c r="Q293" s="60"/>
      <c r="R293" s="60"/>
      <c r="S293" s="60"/>
      <c r="T293" s="60"/>
      <c r="U293" s="60"/>
      <c r="V293" s="60"/>
      <c r="W293" s="60"/>
    </row>
    <row r="294" spans="7:23" x14ac:dyDescent="0.25">
      <c r="G294" s="60"/>
      <c r="H294" s="60"/>
      <c r="I294" s="60"/>
      <c r="J294" s="60"/>
      <c r="K294" s="60"/>
      <c r="L294" s="60"/>
      <c r="M294" s="60"/>
      <c r="N294" s="60"/>
      <c r="O294" s="60"/>
      <c r="P294" s="60"/>
      <c r="Q294" s="60"/>
      <c r="R294" s="60"/>
      <c r="S294" s="60"/>
      <c r="T294" s="60"/>
      <c r="U294" s="60"/>
      <c r="V294" s="60"/>
      <c r="W294" s="60"/>
    </row>
    <row r="295" spans="7:23" x14ac:dyDescent="0.25">
      <c r="G295" s="60"/>
      <c r="H295" s="60"/>
      <c r="I295" s="60"/>
      <c r="J295" s="60"/>
      <c r="K295" s="60"/>
      <c r="L295" s="60"/>
      <c r="M295" s="60"/>
      <c r="N295" s="60"/>
      <c r="O295" s="60"/>
      <c r="P295" s="60"/>
      <c r="Q295" s="60"/>
      <c r="R295" s="60"/>
      <c r="S295" s="60"/>
      <c r="T295" s="60"/>
      <c r="U295" s="60"/>
      <c r="V295" s="60"/>
      <c r="W295" s="60"/>
    </row>
    <row r="296" spans="7:23" x14ac:dyDescent="0.25">
      <c r="G296" s="60"/>
      <c r="H296" s="60"/>
      <c r="I296" s="60"/>
      <c r="J296" s="60"/>
      <c r="K296" s="60"/>
      <c r="L296" s="60"/>
      <c r="M296" s="60"/>
      <c r="N296" s="60"/>
      <c r="O296" s="60"/>
      <c r="P296" s="60"/>
      <c r="Q296" s="60"/>
      <c r="R296" s="60"/>
      <c r="S296" s="60"/>
      <c r="T296" s="60"/>
      <c r="U296" s="60"/>
      <c r="V296" s="60"/>
      <c r="W296" s="60"/>
    </row>
    <row r="297" spans="7:23" x14ac:dyDescent="0.25">
      <c r="G297" s="60"/>
      <c r="H297" s="60"/>
      <c r="I297" s="60"/>
      <c r="J297" s="60"/>
      <c r="K297" s="60"/>
      <c r="L297" s="60"/>
      <c r="M297" s="60"/>
      <c r="N297" s="60"/>
      <c r="O297" s="60"/>
      <c r="P297" s="60"/>
      <c r="Q297" s="60"/>
      <c r="R297" s="60"/>
      <c r="S297" s="60"/>
      <c r="T297" s="60"/>
      <c r="U297" s="60"/>
      <c r="V297" s="60"/>
      <c r="W297" s="60"/>
    </row>
    <row r="298" spans="7:23" x14ac:dyDescent="0.25">
      <c r="G298" s="60"/>
      <c r="H298" s="60"/>
      <c r="I298" s="60"/>
      <c r="J298" s="60"/>
      <c r="K298" s="60"/>
      <c r="L298" s="60"/>
      <c r="M298" s="60"/>
      <c r="N298" s="60"/>
      <c r="O298" s="60"/>
      <c r="P298" s="60"/>
      <c r="Q298" s="60"/>
      <c r="R298" s="60"/>
      <c r="S298" s="60"/>
      <c r="T298" s="60"/>
      <c r="U298" s="60"/>
      <c r="V298" s="60"/>
      <c r="W298" s="60"/>
    </row>
    <row r="299" spans="7:23" x14ac:dyDescent="0.25">
      <c r="G299" s="60"/>
      <c r="H299" s="60"/>
      <c r="I299" s="60"/>
      <c r="J299" s="60"/>
      <c r="K299" s="60"/>
      <c r="L299" s="60"/>
      <c r="M299" s="60"/>
      <c r="N299" s="60"/>
      <c r="O299" s="60"/>
      <c r="P299" s="60"/>
      <c r="Q299" s="60"/>
      <c r="R299" s="60"/>
      <c r="S299" s="60"/>
      <c r="T299" s="60"/>
      <c r="U299" s="60"/>
      <c r="V299" s="60"/>
      <c r="W299" s="60"/>
    </row>
    <row r="300" spans="7:23" x14ac:dyDescent="0.25">
      <c r="G300" s="60"/>
      <c r="H300" s="60"/>
      <c r="I300" s="60"/>
      <c r="J300" s="60"/>
      <c r="K300" s="60"/>
      <c r="L300" s="60"/>
      <c r="M300" s="60"/>
      <c r="N300" s="60"/>
      <c r="O300" s="60"/>
      <c r="P300" s="60"/>
      <c r="Q300" s="60"/>
      <c r="R300" s="60"/>
      <c r="S300" s="60"/>
      <c r="T300" s="60"/>
      <c r="U300" s="60"/>
      <c r="V300" s="60"/>
      <c r="W300" s="60"/>
    </row>
    <row r="301" spans="7:23" x14ac:dyDescent="0.25">
      <c r="G301" s="60"/>
      <c r="H301" s="60"/>
      <c r="I301" s="60"/>
      <c r="J301" s="60"/>
      <c r="K301" s="60"/>
      <c r="L301" s="60"/>
      <c r="M301" s="60"/>
      <c r="N301" s="60"/>
      <c r="O301" s="60"/>
      <c r="P301" s="60"/>
      <c r="Q301" s="60"/>
      <c r="R301" s="60"/>
      <c r="S301" s="60"/>
      <c r="T301" s="60"/>
      <c r="U301" s="60"/>
      <c r="V301" s="60"/>
      <c r="W301" s="60"/>
    </row>
    <row r="302" spans="7:23" x14ac:dyDescent="0.25">
      <c r="G302" s="60"/>
      <c r="H302" s="60"/>
      <c r="I302" s="60"/>
      <c r="J302" s="60"/>
      <c r="K302" s="60"/>
      <c r="L302" s="60"/>
      <c r="M302" s="60"/>
      <c r="N302" s="60"/>
      <c r="O302" s="60"/>
      <c r="P302" s="60"/>
      <c r="Q302" s="60"/>
      <c r="R302" s="60"/>
      <c r="S302" s="60"/>
      <c r="T302" s="60"/>
      <c r="U302" s="60"/>
      <c r="V302" s="60"/>
      <c r="W302" s="60"/>
    </row>
    <row r="303" spans="7:23" x14ac:dyDescent="0.25">
      <c r="G303" s="60"/>
      <c r="H303" s="60"/>
      <c r="I303" s="60"/>
      <c r="J303" s="60"/>
      <c r="K303" s="60"/>
      <c r="L303" s="60"/>
      <c r="M303" s="60"/>
      <c r="N303" s="60"/>
      <c r="O303" s="60"/>
      <c r="P303" s="60"/>
      <c r="Q303" s="60"/>
      <c r="R303" s="60"/>
      <c r="S303" s="60"/>
      <c r="T303" s="60"/>
      <c r="U303" s="60"/>
      <c r="V303" s="60"/>
      <c r="W303" s="60"/>
    </row>
    <row r="304" spans="7:23" x14ac:dyDescent="0.25">
      <c r="G304" s="60"/>
      <c r="H304" s="60"/>
      <c r="I304" s="60"/>
      <c r="J304" s="60"/>
      <c r="K304" s="60"/>
      <c r="L304" s="60"/>
      <c r="M304" s="60"/>
      <c r="N304" s="60"/>
      <c r="O304" s="60"/>
      <c r="P304" s="60"/>
      <c r="Q304" s="60"/>
      <c r="R304" s="60"/>
      <c r="S304" s="60"/>
      <c r="T304" s="60"/>
      <c r="U304" s="60"/>
      <c r="V304" s="60"/>
      <c r="W304" s="60"/>
    </row>
    <row r="305" spans="7:23" x14ac:dyDescent="0.25">
      <c r="G305" s="60"/>
      <c r="H305" s="60"/>
      <c r="I305" s="60"/>
      <c r="J305" s="60"/>
      <c r="K305" s="60"/>
      <c r="L305" s="60"/>
      <c r="M305" s="60"/>
      <c r="N305" s="60"/>
      <c r="O305" s="60"/>
      <c r="P305" s="60"/>
      <c r="Q305" s="60"/>
      <c r="R305" s="60"/>
      <c r="S305" s="60"/>
      <c r="T305" s="60"/>
      <c r="U305" s="60"/>
      <c r="V305" s="60"/>
      <c r="W305" s="60"/>
    </row>
    <row r="306" spans="7:23" x14ac:dyDescent="0.25">
      <c r="G306" s="60"/>
      <c r="H306" s="60"/>
      <c r="I306" s="60"/>
      <c r="J306" s="60"/>
      <c r="K306" s="60"/>
      <c r="L306" s="60"/>
      <c r="M306" s="60"/>
      <c r="N306" s="60"/>
      <c r="O306" s="60"/>
      <c r="P306" s="60"/>
      <c r="Q306" s="60"/>
      <c r="R306" s="60"/>
      <c r="S306" s="60"/>
      <c r="T306" s="60"/>
      <c r="U306" s="60"/>
      <c r="V306" s="60"/>
      <c r="W306" s="60"/>
    </row>
    <row r="307" spans="7:23" x14ac:dyDescent="0.25">
      <c r="G307" s="60"/>
      <c r="H307" s="60"/>
      <c r="I307" s="60"/>
      <c r="J307" s="60"/>
      <c r="K307" s="60"/>
      <c r="L307" s="60"/>
      <c r="M307" s="60"/>
      <c r="N307" s="60"/>
      <c r="O307" s="60"/>
      <c r="P307" s="60"/>
      <c r="Q307" s="60"/>
      <c r="R307" s="60"/>
      <c r="S307" s="60"/>
      <c r="T307" s="60"/>
      <c r="U307" s="60"/>
      <c r="V307" s="60"/>
      <c r="W307" s="60"/>
    </row>
    <row r="308" spans="7:23" x14ac:dyDescent="0.25">
      <c r="G308" s="60"/>
      <c r="H308" s="60"/>
      <c r="I308" s="60"/>
      <c r="J308" s="60"/>
      <c r="K308" s="60"/>
      <c r="L308" s="60"/>
      <c r="M308" s="60"/>
      <c r="N308" s="60"/>
      <c r="O308" s="60"/>
      <c r="P308" s="60"/>
      <c r="Q308" s="60"/>
      <c r="R308" s="60"/>
      <c r="S308" s="60"/>
      <c r="T308" s="60"/>
      <c r="U308" s="60"/>
      <c r="V308" s="60"/>
      <c r="W308" s="60"/>
    </row>
    <row r="309" spans="7:23" x14ac:dyDescent="0.25">
      <c r="G309" s="60"/>
      <c r="H309" s="60"/>
      <c r="I309" s="60"/>
      <c r="J309" s="60"/>
      <c r="K309" s="60"/>
      <c r="L309" s="60"/>
      <c r="M309" s="60"/>
      <c r="N309" s="60"/>
      <c r="O309" s="60"/>
      <c r="P309" s="60"/>
      <c r="Q309" s="60"/>
      <c r="R309" s="60"/>
      <c r="S309" s="60"/>
      <c r="T309" s="60"/>
      <c r="U309" s="60"/>
      <c r="V309" s="60"/>
      <c r="W309" s="60"/>
    </row>
    <row r="310" spans="7:23" x14ac:dyDescent="0.25">
      <c r="G310" s="60"/>
      <c r="H310" s="60"/>
      <c r="I310" s="60"/>
      <c r="J310" s="60"/>
      <c r="K310" s="60"/>
      <c r="L310" s="60"/>
      <c r="M310" s="60"/>
      <c r="N310" s="60"/>
      <c r="O310" s="60"/>
      <c r="P310" s="60"/>
      <c r="Q310" s="60"/>
      <c r="R310" s="60"/>
      <c r="S310" s="60"/>
      <c r="T310" s="60"/>
      <c r="U310" s="60"/>
      <c r="V310" s="60"/>
      <c r="W310" s="60"/>
    </row>
    <row r="311" spans="7:23" x14ac:dyDescent="0.25">
      <c r="G311" s="60"/>
      <c r="H311" s="60"/>
      <c r="I311" s="60"/>
      <c r="J311" s="60"/>
      <c r="K311" s="60"/>
      <c r="L311" s="60"/>
      <c r="M311" s="60"/>
      <c r="N311" s="60"/>
      <c r="O311" s="60"/>
      <c r="P311" s="60"/>
      <c r="Q311" s="60"/>
      <c r="R311" s="60"/>
      <c r="S311" s="60"/>
      <c r="T311" s="60"/>
      <c r="U311" s="60"/>
      <c r="V311" s="60"/>
      <c r="W311" s="60"/>
    </row>
    <row r="312" spans="7:23" x14ac:dyDescent="0.25">
      <c r="G312" s="60"/>
      <c r="H312" s="60"/>
      <c r="I312" s="60"/>
      <c r="J312" s="60"/>
      <c r="K312" s="60"/>
      <c r="L312" s="60"/>
      <c r="M312" s="60"/>
      <c r="N312" s="60"/>
      <c r="O312" s="60"/>
      <c r="P312" s="60"/>
      <c r="Q312" s="60"/>
      <c r="R312" s="60"/>
      <c r="S312" s="60"/>
      <c r="T312" s="60"/>
      <c r="U312" s="60"/>
      <c r="V312" s="60"/>
      <c r="W312" s="60"/>
    </row>
    <row r="313" spans="7:23" x14ac:dyDescent="0.25">
      <c r="G313" s="60"/>
      <c r="H313" s="60"/>
      <c r="I313" s="60"/>
      <c r="J313" s="60"/>
      <c r="K313" s="60"/>
      <c r="L313" s="60"/>
      <c r="M313" s="60"/>
      <c r="N313" s="60"/>
      <c r="O313" s="60"/>
      <c r="P313" s="60"/>
      <c r="Q313" s="60"/>
      <c r="R313" s="60"/>
      <c r="S313" s="60"/>
      <c r="T313" s="60"/>
      <c r="U313" s="60"/>
      <c r="V313" s="60"/>
      <c r="W313" s="60"/>
    </row>
    <row r="314" spans="7:23" x14ac:dyDescent="0.25">
      <c r="G314" s="60"/>
      <c r="H314" s="60"/>
      <c r="I314" s="60"/>
      <c r="J314" s="60"/>
      <c r="K314" s="60"/>
      <c r="L314" s="60"/>
      <c r="M314" s="60"/>
      <c r="N314" s="60"/>
      <c r="O314" s="60"/>
      <c r="P314" s="60"/>
      <c r="Q314" s="60"/>
      <c r="R314" s="60"/>
      <c r="S314" s="60"/>
      <c r="T314" s="60"/>
      <c r="U314" s="60"/>
      <c r="V314" s="60"/>
      <c r="W314" s="60"/>
    </row>
    <row r="315" spans="7:23" x14ac:dyDescent="0.25">
      <c r="G315" s="60"/>
      <c r="H315" s="60"/>
      <c r="I315" s="60"/>
      <c r="J315" s="60"/>
      <c r="K315" s="60"/>
      <c r="L315" s="60"/>
      <c r="M315" s="60"/>
      <c r="N315" s="60"/>
      <c r="O315" s="60"/>
      <c r="P315" s="60"/>
      <c r="Q315" s="60"/>
      <c r="R315" s="60"/>
      <c r="S315" s="60"/>
      <c r="T315" s="60"/>
      <c r="U315" s="60"/>
      <c r="V315" s="60"/>
      <c r="W315" s="60"/>
    </row>
    <row r="316" spans="7:23" x14ac:dyDescent="0.25">
      <c r="G316" s="60"/>
      <c r="H316" s="60"/>
      <c r="I316" s="60"/>
      <c r="J316" s="60"/>
      <c r="K316" s="60"/>
      <c r="L316" s="60"/>
      <c r="M316" s="60"/>
      <c r="N316" s="60"/>
      <c r="O316" s="60"/>
      <c r="P316" s="60"/>
      <c r="Q316" s="60"/>
      <c r="R316" s="60"/>
      <c r="S316" s="60"/>
      <c r="T316" s="60"/>
      <c r="U316" s="60"/>
      <c r="V316" s="60"/>
      <c r="W316" s="60"/>
    </row>
    <row r="317" spans="7:23" x14ac:dyDescent="0.25">
      <c r="G317" s="60"/>
      <c r="H317" s="60"/>
      <c r="I317" s="60"/>
      <c r="J317" s="60"/>
      <c r="K317" s="60"/>
      <c r="L317" s="60"/>
      <c r="M317" s="60"/>
      <c r="N317" s="60"/>
      <c r="O317" s="60"/>
      <c r="P317" s="60"/>
      <c r="Q317" s="60"/>
      <c r="R317" s="60"/>
      <c r="S317" s="60"/>
      <c r="T317" s="60"/>
      <c r="U317" s="60"/>
      <c r="V317" s="60"/>
      <c r="W317" s="60"/>
    </row>
    <row r="318" spans="7:23" x14ac:dyDescent="0.25">
      <c r="G318" s="60"/>
      <c r="H318" s="60"/>
      <c r="I318" s="60"/>
      <c r="J318" s="60"/>
      <c r="K318" s="60"/>
      <c r="L318" s="60"/>
      <c r="M318" s="60"/>
      <c r="N318" s="60"/>
      <c r="O318" s="60"/>
      <c r="P318" s="60"/>
      <c r="Q318" s="60"/>
      <c r="R318" s="60"/>
      <c r="S318" s="60"/>
      <c r="T318" s="60"/>
      <c r="U318" s="60"/>
      <c r="V318" s="60"/>
      <c r="W318" s="60"/>
    </row>
    <row r="319" spans="7:23" x14ac:dyDescent="0.25">
      <c r="G319" s="60"/>
      <c r="H319" s="60"/>
      <c r="I319" s="60"/>
      <c r="J319" s="60"/>
      <c r="K319" s="60"/>
      <c r="L319" s="60"/>
      <c r="M319" s="60"/>
      <c r="N319" s="60"/>
      <c r="O319" s="60"/>
      <c r="P319" s="60"/>
      <c r="Q319" s="60"/>
      <c r="R319" s="60"/>
      <c r="S319" s="60"/>
      <c r="T319" s="60"/>
      <c r="U319" s="60"/>
      <c r="V319" s="60"/>
      <c r="W319" s="60"/>
    </row>
    <row r="320" spans="7:23" x14ac:dyDescent="0.25">
      <c r="G320" s="60"/>
      <c r="H320" s="60"/>
      <c r="I320" s="60"/>
      <c r="J320" s="60"/>
      <c r="K320" s="60"/>
      <c r="L320" s="60"/>
      <c r="M320" s="60"/>
      <c r="N320" s="60"/>
      <c r="O320" s="60"/>
      <c r="P320" s="60"/>
      <c r="Q320" s="60"/>
      <c r="R320" s="60"/>
      <c r="S320" s="60"/>
      <c r="T320" s="60"/>
      <c r="U320" s="60"/>
      <c r="V320" s="60"/>
      <c r="W320" s="60"/>
    </row>
    <row r="321" spans="7:23" x14ac:dyDescent="0.25">
      <c r="G321" s="60"/>
      <c r="H321" s="60"/>
      <c r="I321" s="60"/>
      <c r="J321" s="60"/>
      <c r="K321" s="60"/>
      <c r="L321" s="60"/>
      <c r="M321" s="60"/>
      <c r="N321" s="60"/>
      <c r="O321" s="60"/>
      <c r="P321" s="60"/>
      <c r="Q321" s="60"/>
      <c r="R321" s="60"/>
      <c r="S321" s="60"/>
      <c r="T321" s="60"/>
      <c r="U321" s="60"/>
      <c r="V321" s="60"/>
      <c r="W321" s="60"/>
    </row>
    <row r="322" spans="7:23" x14ac:dyDescent="0.25">
      <c r="G322" s="60"/>
      <c r="H322" s="60"/>
      <c r="I322" s="60"/>
      <c r="J322" s="60"/>
      <c r="K322" s="60"/>
      <c r="L322" s="60"/>
      <c r="M322" s="60"/>
      <c r="N322" s="60"/>
      <c r="O322" s="60"/>
      <c r="P322" s="60"/>
      <c r="Q322" s="60"/>
      <c r="R322" s="60"/>
      <c r="S322" s="60"/>
      <c r="T322" s="60"/>
      <c r="U322" s="60"/>
      <c r="V322" s="60"/>
      <c r="W322" s="60"/>
    </row>
    <row r="323" spans="7:23" x14ac:dyDescent="0.25">
      <c r="G323" s="60"/>
      <c r="H323" s="60"/>
      <c r="I323" s="60"/>
      <c r="J323" s="60"/>
      <c r="K323" s="60"/>
      <c r="L323" s="60"/>
      <c r="M323" s="60"/>
      <c r="N323" s="60"/>
      <c r="O323" s="60"/>
      <c r="P323" s="60"/>
      <c r="Q323" s="60"/>
      <c r="R323" s="60"/>
      <c r="S323" s="60"/>
      <c r="T323" s="60"/>
      <c r="U323" s="60"/>
      <c r="V323" s="60"/>
      <c r="W323" s="60"/>
    </row>
    <row r="324" spans="7:23" x14ac:dyDescent="0.25">
      <c r="G324" s="60"/>
      <c r="H324" s="60"/>
      <c r="I324" s="60"/>
      <c r="J324" s="60"/>
      <c r="K324" s="60"/>
      <c r="L324" s="60"/>
      <c r="M324" s="60"/>
      <c r="N324" s="60"/>
      <c r="O324" s="60"/>
      <c r="P324" s="60"/>
      <c r="Q324" s="60"/>
      <c r="R324" s="60"/>
      <c r="S324" s="60"/>
      <c r="T324" s="60"/>
      <c r="U324" s="60"/>
      <c r="V324" s="60"/>
      <c r="W324" s="60"/>
    </row>
    <row r="325" spans="7:23" x14ac:dyDescent="0.25">
      <c r="G325" s="60"/>
      <c r="H325" s="60"/>
      <c r="I325" s="60"/>
      <c r="J325" s="60"/>
      <c r="K325" s="60"/>
      <c r="L325" s="60"/>
      <c r="M325" s="60"/>
      <c r="N325" s="60"/>
      <c r="O325" s="60"/>
      <c r="P325" s="60"/>
      <c r="Q325" s="60"/>
      <c r="R325" s="60"/>
      <c r="S325" s="60"/>
      <c r="T325" s="60"/>
      <c r="U325" s="60"/>
      <c r="V325" s="60"/>
      <c r="W325" s="60"/>
    </row>
    <row r="326" spans="7:23" x14ac:dyDescent="0.25">
      <c r="G326" s="60"/>
      <c r="H326" s="60"/>
      <c r="I326" s="60"/>
      <c r="J326" s="60"/>
      <c r="K326" s="60"/>
      <c r="L326" s="60"/>
      <c r="M326" s="60"/>
      <c r="N326" s="60"/>
      <c r="O326" s="60"/>
      <c r="P326" s="60"/>
      <c r="Q326" s="60"/>
      <c r="R326" s="60"/>
      <c r="S326" s="60"/>
      <c r="T326" s="60"/>
      <c r="U326" s="60"/>
      <c r="V326" s="60"/>
      <c r="W326" s="60"/>
    </row>
    <row r="327" spans="7:23" x14ac:dyDescent="0.25">
      <c r="G327" s="60"/>
      <c r="H327" s="60"/>
      <c r="I327" s="60"/>
      <c r="J327" s="60"/>
      <c r="K327" s="60"/>
      <c r="L327" s="60"/>
      <c r="M327" s="60"/>
      <c r="N327" s="60"/>
      <c r="O327" s="60"/>
      <c r="P327" s="60"/>
      <c r="Q327" s="60"/>
      <c r="R327" s="60"/>
      <c r="S327" s="60"/>
      <c r="T327" s="60"/>
      <c r="U327" s="60"/>
      <c r="V327" s="60"/>
      <c r="W327" s="60"/>
    </row>
    <row r="328" spans="7:23" x14ac:dyDescent="0.25">
      <c r="G328" s="60"/>
      <c r="H328" s="60"/>
      <c r="I328" s="60"/>
      <c r="J328" s="60"/>
      <c r="K328" s="60"/>
      <c r="L328" s="60"/>
      <c r="M328" s="60"/>
      <c r="N328" s="60"/>
      <c r="O328" s="60"/>
      <c r="P328" s="60"/>
      <c r="Q328" s="60"/>
      <c r="R328" s="60"/>
      <c r="S328" s="60"/>
      <c r="T328" s="60"/>
      <c r="U328" s="60"/>
      <c r="V328" s="60"/>
      <c r="W328" s="60"/>
    </row>
    <row r="329" spans="7:23" x14ac:dyDescent="0.25">
      <c r="G329" s="60"/>
      <c r="H329" s="60"/>
      <c r="I329" s="60"/>
      <c r="J329" s="60"/>
      <c r="K329" s="60"/>
      <c r="L329" s="60"/>
      <c r="M329" s="60"/>
      <c r="N329" s="60"/>
      <c r="O329" s="60"/>
      <c r="P329" s="60"/>
      <c r="Q329" s="60"/>
      <c r="R329" s="60"/>
      <c r="S329" s="60"/>
      <c r="T329" s="60"/>
      <c r="U329" s="60"/>
      <c r="V329" s="60"/>
      <c r="W329" s="60"/>
    </row>
    <row r="330" spans="7:23" x14ac:dyDescent="0.25">
      <c r="G330" s="60"/>
      <c r="H330" s="60"/>
      <c r="I330" s="60"/>
      <c r="J330" s="60"/>
      <c r="K330" s="60"/>
      <c r="L330" s="60"/>
      <c r="M330" s="60"/>
      <c r="N330" s="60"/>
      <c r="O330" s="60"/>
      <c r="P330" s="60"/>
      <c r="Q330" s="60"/>
      <c r="R330" s="60"/>
      <c r="S330" s="60"/>
      <c r="T330" s="60"/>
      <c r="U330" s="60"/>
      <c r="V330" s="60"/>
      <c r="W330" s="60"/>
    </row>
    <row r="331" spans="7:23" x14ac:dyDescent="0.25">
      <c r="G331" s="60"/>
      <c r="H331" s="60"/>
      <c r="I331" s="60"/>
      <c r="J331" s="60"/>
      <c r="K331" s="60"/>
      <c r="L331" s="60"/>
      <c r="M331" s="60"/>
      <c r="N331" s="60"/>
      <c r="O331" s="60"/>
      <c r="P331" s="60"/>
      <c r="Q331" s="60"/>
      <c r="R331" s="60"/>
      <c r="S331" s="60"/>
      <c r="T331" s="60"/>
      <c r="U331" s="60"/>
      <c r="V331" s="60"/>
      <c r="W331" s="60"/>
    </row>
    <row r="332" spans="7:23" x14ac:dyDescent="0.25">
      <c r="G332" s="60"/>
      <c r="H332" s="60"/>
      <c r="I332" s="60"/>
      <c r="J332" s="60"/>
      <c r="K332" s="60"/>
      <c r="L332" s="60"/>
      <c r="M332" s="60"/>
      <c r="N332" s="60"/>
      <c r="O332" s="60"/>
      <c r="P332" s="60"/>
      <c r="Q332" s="60"/>
      <c r="R332" s="60"/>
      <c r="S332" s="60"/>
      <c r="T332" s="60"/>
      <c r="U332" s="60"/>
      <c r="V332" s="60"/>
      <c r="W332" s="60"/>
    </row>
    <row r="333" spans="7:23" x14ac:dyDescent="0.25">
      <c r="G333" s="60"/>
      <c r="H333" s="60"/>
      <c r="I333" s="60"/>
      <c r="J333" s="60"/>
      <c r="K333" s="60"/>
      <c r="L333" s="60"/>
      <c r="M333" s="60"/>
      <c r="N333" s="60"/>
      <c r="O333" s="60"/>
      <c r="P333" s="60"/>
      <c r="Q333" s="60"/>
      <c r="R333" s="60"/>
      <c r="S333" s="60"/>
      <c r="T333" s="60"/>
      <c r="U333" s="60"/>
      <c r="V333" s="60"/>
      <c r="W333" s="60"/>
    </row>
    <row r="334" spans="7:23" x14ac:dyDescent="0.25">
      <c r="G334" s="60"/>
      <c r="H334" s="60"/>
      <c r="I334" s="60"/>
      <c r="J334" s="60"/>
      <c r="K334" s="60"/>
      <c r="L334" s="60"/>
      <c r="M334" s="60"/>
      <c r="N334" s="60"/>
      <c r="O334" s="60"/>
      <c r="P334" s="60"/>
      <c r="Q334" s="60"/>
      <c r="R334" s="60"/>
      <c r="S334" s="60"/>
      <c r="T334" s="60"/>
      <c r="U334" s="60"/>
      <c r="V334" s="60"/>
      <c r="W334" s="60"/>
    </row>
    <row r="335" spans="7:23" x14ac:dyDescent="0.25">
      <c r="G335" s="60"/>
      <c r="H335" s="60"/>
      <c r="I335" s="60"/>
      <c r="J335" s="60"/>
      <c r="K335" s="60"/>
      <c r="L335" s="60"/>
      <c r="M335" s="60"/>
      <c r="N335" s="60"/>
      <c r="O335" s="60"/>
      <c r="P335" s="60"/>
      <c r="Q335" s="60"/>
      <c r="R335" s="60"/>
      <c r="S335" s="60"/>
      <c r="T335" s="60"/>
      <c r="U335" s="60"/>
      <c r="V335" s="60"/>
      <c r="W335" s="60"/>
    </row>
    <row r="336" spans="7:23" x14ac:dyDescent="0.25">
      <c r="G336" s="60"/>
      <c r="H336" s="60"/>
      <c r="I336" s="60"/>
      <c r="J336" s="60"/>
      <c r="K336" s="60"/>
      <c r="L336" s="60"/>
      <c r="M336" s="60"/>
      <c r="N336" s="60"/>
      <c r="O336" s="60"/>
      <c r="P336" s="60"/>
      <c r="Q336" s="60"/>
      <c r="R336" s="60"/>
      <c r="S336" s="60"/>
      <c r="T336" s="60"/>
      <c r="U336" s="60"/>
      <c r="V336" s="60"/>
      <c r="W336" s="60"/>
    </row>
    <row r="337" spans="7:23" x14ac:dyDescent="0.25">
      <c r="G337" s="60"/>
      <c r="H337" s="60"/>
      <c r="I337" s="60"/>
      <c r="J337" s="60"/>
      <c r="K337" s="60"/>
      <c r="L337" s="60"/>
      <c r="M337" s="60"/>
      <c r="N337" s="60"/>
      <c r="O337" s="60"/>
      <c r="P337" s="60"/>
      <c r="Q337" s="60"/>
      <c r="R337" s="60"/>
      <c r="S337" s="60"/>
      <c r="T337" s="60"/>
      <c r="U337" s="60"/>
      <c r="V337" s="60"/>
      <c r="W337" s="60"/>
    </row>
    <row r="338" spans="7:23" x14ac:dyDescent="0.25">
      <c r="G338" s="60"/>
      <c r="H338" s="60"/>
      <c r="I338" s="60"/>
      <c r="J338" s="60"/>
      <c r="K338" s="60"/>
      <c r="L338" s="60"/>
      <c r="M338" s="60"/>
      <c r="N338" s="60"/>
      <c r="O338" s="60"/>
      <c r="P338" s="60"/>
      <c r="Q338" s="60"/>
      <c r="R338" s="60"/>
      <c r="S338" s="60"/>
      <c r="T338" s="60"/>
      <c r="U338" s="60"/>
      <c r="V338" s="60"/>
      <c r="W338" s="60"/>
    </row>
    <row r="339" spans="7:23" x14ac:dyDescent="0.25">
      <c r="G339" s="60"/>
      <c r="H339" s="60"/>
      <c r="I339" s="60"/>
      <c r="J339" s="60"/>
      <c r="K339" s="60"/>
      <c r="L339" s="60"/>
      <c r="M339" s="60"/>
      <c r="N339" s="60"/>
      <c r="O339" s="60"/>
      <c r="P339" s="60"/>
      <c r="Q339" s="60"/>
      <c r="R339" s="60"/>
      <c r="S339" s="60"/>
      <c r="T339" s="60"/>
      <c r="U339" s="60"/>
      <c r="V339" s="60"/>
      <c r="W339" s="60"/>
    </row>
    <row r="340" spans="7:23" x14ac:dyDescent="0.25">
      <c r="G340" s="60"/>
      <c r="H340" s="60"/>
      <c r="I340" s="60"/>
      <c r="J340" s="60"/>
      <c r="K340" s="60"/>
      <c r="L340" s="60"/>
      <c r="M340" s="60"/>
      <c r="N340" s="60"/>
      <c r="O340" s="60"/>
      <c r="P340" s="60"/>
      <c r="Q340" s="60"/>
      <c r="R340" s="60"/>
      <c r="S340" s="60"/>
      <c r="T340" s="60"/>
      <c r="U340" s="60"/>
      <c r="V340" s="60"/>
      <c r="W340" s="60"/>
    </row>
    <row r="341" spans="7:23" x14ac:dyDescent="0.25">
      <c r="G341" s="60"/>
      <c r="H341" s="60"/>
      <c r="I341" s="60"/>
      <c r="J341" s="60"/>
      <c r="K341" s="60"/>
      <c r="L341" s="60"/>
      <c r="M341" s="60"/>
      <c r="N341" s="60"/>
      <c r="O341" s="60"/>
      <c r="P341" s="60"/>
      <c r="Q341" s="60"/>
      <c r="R341" s="60"/>
      <c r="S341" s="60"/>
      <c r="T341" s="60"/>
      <c r="U341" s="60"/>
      <c r="V341" s="60"/>
      <c r="W341" s="60"/>
    </row>
    <row r="342" spans="7:23" x14ac:dyDescent="0.25">
      <c r="G342" s="60"/>
      <c r="H342" s="60"/>
      <c r="I342" s="60"/>
      <c r="J342" s="60"/>
      <c r="K342" s="60"/>
      <c r="L342" s="60"/>
      <c r="M342" s="60"/>
      <c r="N342" s="60"/>
      <c r="O342" s="60"/>
      <c r="P342" s="60"/>
      <c r="Q342" s="60"/>
      <c r="R342" s="60"/>
      <c r="S342" s="60"/>
      <c r="T342" s="60"/>
      <c r="U342" s="60"/>
      <c r="V342" s="60"/>
      <c r="W342" s="60"/>
    </row>
    <row r="343" spans="7:23" x14ac:dyDescent="0.25">
      <c r="G343" s="60"/>
      <c r="H343" s="60"/>
      <c r="I343" s="60"/>
      <c r="J343" s="60"/>
      <c r="K343" s="60"/>
      <c r="L343" s="60"/>
      <c r="M343" s="60"/>
      <c r="N343" s="60"/>
      <c r="O343" s="60"/>
      <c r="P343" s="60"/>
      <c r="Q343" s="60"/>
      <c r="R343" s="60"/>
      <c r="S343" s="60"/>
      <c r="T343" s="60"/>
      <c r="U343" s="60"/>
      <c r="V343" s="60"/>
      <c r="W343" s="60"/>
    </row>
    <row r="344" spans="7:23" x14ac:dyDescent="0.25">
      <c r="G344" s="60"/>
      <c r="H344" s="60"/>
      <c r="I344" s="60"/>
      <c r="J344" s="60"/>
      <c r="K344" s="60"/>
      <c r="L344" s="60"/>
      <c r="M344" s="60"/>
      <c r="N344" s="60"/>
      <c r="O344" s="60"/>
      <c r="P344" s="60"/>
      <c r="Q344" s="60"/>
      <c r="R344" s="60"/>
      <c r="S344" s="60"/>
      <c r="T344" s="60"/>
      <c r="U344" s="60"/>
      <c r="V344" s="60"/>
      <c r="W344" s="60"/>
    </row>
    <row r="345" spans="7:23" x14ac:dyDescent="0.25">
      <c r="G345" s="60"/>
      <c r="H345" s="60"/>
      <c r="I345" s="60"/>
      <c r="J345" s="60"/>
      <c r="K345" s="60"/>
      <c r="L345" s="60"/>
      <c r="M345" s="60"/>
      <c r="N345" s="60"/>
      <c r="O345" s="60"/>
      <c r="P345" s="60"/>
      <c r="Q345" s="60"/>
      <c r="R345" s="60"/>
      <c r="S345" s="60"/>
      <c r="T345" s="60"/>
      <c r="U345" s="60"/>
      <c r="V345" s="60"/>
      <c r="W345" s="60"/>
    </row>
    <row r="346" spans="7:23" x14ac:dyDescent="0.25">
      <c r="G346" s="60"/>
      <c r="H346" s="60"/>
      <c r="I346" s="60"/>
      <c r="J346" s="60"/>
      <c r="K346" s="60"/>
      <c r="L346" s="60"/>
      <c r="M346" s="60"/>
      <c r="N346" s="60"/>
      <c r="O346" s="60"/>
      <c r="P346" s="60"/>
      <c r="Q346" s="60"/>
      <c r="R346" s="60"/>
      <c r="S346" s="60"/>
      <c r="T346" s="60"/>
      <c r="U346" s="60"/>
      <c r="V346" s="60"/>
      <c r="W346" s="60"/>
    </row>
    <row r="347" spans="7:23" x14ac:dyDescent="0.25">
      <c r="G347" s="60"/>
      <c r="H347" s="60"/>
      <c r="I347" s="60"/>
      <c r="J347" s="60"/>
      <c r="K347" s="60"/>
      <c r="L347" s="60"/>
      <c r="M347" s="60"/>
      <c r="N347" s="60"/>
      <c r="O347" s="60"/>
      <c r="P347" s="60"/>
      <c r="Q347" s="60"/>
      <c r="R347" s="60"/>
      <c r="S347" s="60"/>
      <c r="T347" s="60"/>
      <c r="U347" s="60"/>
      <c r="V347" s="60"/>
      <c r="W347" s="60"/>
    </row>
    <row r="348" spans="7:23" x14ac:dyDescent="0.25">
      <c r="G348" s="60"/>
      <c r="H348" s="60"/>
      <c r="I348" s="60"/>
      <c r="J348" s="60"/>
      <c r="K348" s="60"/>
      <c r="L348" s="60"/>
      <c r="M348" s="60"/>
      <c r="N348" s="60"/>
      <c r="O348" s="60"/>
      <c r="P348" s="60"/>
      <c r="Q348" s="60"/>
      <c r="R348" s="60"/>
      <c r="S348" s="60"/>
      <c r="T348" s="60"/>
      <c r="U348" s="60"/>
      <c r="V348" s="60"/>
      <c r="W348" s="60"/>
    </row>
    <row r="349" spans="7:23" x14ac:dyDescent="0.25">
      <c r="G349" s="60"/>
      <c r="H349" s="60"/>
      <c r="I349" s="60"/>
      <c r="J349" s="60"/>
      <c r="K349" s="60"/>
      <c r="L349" s="60"/>
      <c r="M349" s="60"/>
      <c r="N349" s="60"/>
      <c r="O349" s="60"/>
      <c r="P349" s="60"/>
      <c r="Q349" s="60"/>
      <c r="R349" s="60"/>
      <c r="S349" s="60"/>
      <c r="T349" s="60"/>
      <c r="U349" s="60"/>
      <c r="V349" s="60"/>
      <c r="W349" s="60"/>
    </row>
    <row r="350" spans="7:23" x14ac:dyDescent="0.25">
      <c r="G350" s="60"/>
      <c r="H350" s="60"/>
      <c r="I350" s="60"/>
      <c r="J350" s="60"/>
      <c r="K350" s="60"/>
      <c r="L350" s="60"/>
      <c r="M350" s="60"/>
      <c r="N350" s="60"/>
      <c r="O350" s="60"/>
      <c r="P350" s="60"/>
      <c r="Q350" s="60"/>
      <c r="R350" s="60"/>
      <c r="S350" s="60"/>
      <c r="T350" s="60"/>
      <c r="U350" s="60"/>
      <c r="V350" s="60"/>
      <c r="W350" s="60"/>
    </row>
    <row r="351" spans="7:23" x14ac:dyDescent="0.25">
      <c r="G351" s="60"/>
      <c r="H351" s="60"/>
      <c r="I351" s="60"/>
      <c r="J351" s="60"/>
      <c r="K351" s="60"/>
      <c r="L351" s="60"/>
      <c r="M351" s="60"/>
      <c r="N351" s="60"/>
      <c r="O351" s="60"/>
      <c r="P351" s="60"/>
      <c r="Q351" s="60"/>
      <c r="R351" s="60"/>
      <c r="S351" s="60"/>
      <c r="T351" s="60"/>
      <c r="U351" s="60"/>
      <c r="V351" s="60"/>
      <c r="W351" s="60"/>
    </row>
    <row r="352" spans="7:23" x14ac:dyDescent="0.25">
      <c r="G352" s="60"/>
      <c r="H352" s="60"/>
      <c r="I352" s="60"/>
      <c r="J352" s="60"/>
      <c r="K352" s="60"/>
      <c r="L352" s="60"/>
      <c r="M352" s="60"/>
      <c r="N352" s="60"/>
      <c r="O352" s="60"/>
      <c r="P352" s="60"/>
      <c r="Q352" s="60"/>
      <c r="R352" s="60"/>
      <c r="S352" s="60"/>
      <c r="T352" s="60"/>
      <c r="U352" s="60"/>
      <c r="V352" s="60"/>
      <c r="W352" s="60"/>
    </row>
    <row r="353" spans="7:23" x14ac:dyDescent="0.25">
      <c r="G353" s="60"/>
      <c r="H353" s="60"/>
      <c r="I353" s="60"/>
      <c r="J353" s="60"/>
      <c r="K353" s="60"/>
      <c r="L353" s="60"/>
      <c r="M353" s="60"/>
      <c r="N353" s="60"/>
      <c r="O353" s="60"/>
      <c r="P353" s="60"/>
      <c r="Q353" s="60"/>
      <c r="R353" s="60"/>
      <c r="S353" s="60"/>
      <c r="T353" s="60"/>
      <c r="U353" s="60"/>
      <c r="V353" s="60"/>
      <c r="W353" s="60"/>
    </row>
    <row r="354" spans="7:23" x14ac:dyDescent="0.25">
      <c r="G354" s="60"/>
      <c r="H354" s="60"/>
      <c r="I354" s="60"/>
      <c r="J354" s="60"/>
      <c r="K354" s="60"/>
      <c r="L354" s="60"/>
      <c r="M354" s="60"/>
      <c r="N354" s="60"/>
      <c r="O354" s="60"/>
      <c r="P354" s="60"/>
      <c r="Q354" s="60"/>
      <c r="R354" s="60"/>
      <c r="S354" s="60"/>
      <c r="T354" s="60"/>
      <c r="U354" s="60"/>
      <c r="V354" s="60"/>
      <c r="W354" s="60"/>
    </row>
    <row r="355" spans="7:23" x14ac:dyDescent="0.25">
      <c r="G355" s="60"/>
      <c r="H355" s="60"/>
      <c r="I355" s="60"/>
      <c r="J355" s="60"/>
      <c r="K355" s="60"/>
      <c r="L355" s="60"/>
      <c r="M355" s="60"/>
      <c r="N355" s="60"/>
      <c r="O355" s="60"/>
      <c r="P355" s="60"/>
      <c r="Q355" s="60"/>
      <c r="R355" s="60"/>
      <c r="S355" s="60"/>
      <c r="T355" s="60"/>
      <c r="U355" s="60"/>
      <c r="V355" s="60"/>
      <c r="W355" s="60"/>
    </row>
    <row r="356" spans="7:23" x14ac:dyDescent="0.25">
      <c r="G356" s="60"/>
      <c r="H356" s="60"/>
      <c r="I356" s="60"/>
      <c r="J356" s="60"/>
      <c r="K356" s="60"/>
      <c r="L356" s="60"/>
      <c r="M356" s="60"/>
      <c r="N356" s="60"/>
      <c r="O356" s="60"/>
      <c r="P356" s="60"/>
      <c r="Q356" s="60"/>
      <c r="R356" s="60"/>
      <c r="S356" s="60"/>
      <c r="T356" s="60"/>
      <c r="U356" s="60"/>
      <c r="V356" s="60"/>
      <c r="W356" s="60"/>
    </row>
    <row r="357" spans="7:23" x14ac:dyDescent="0.25">
      <c r="G357" s="60"/>
      <c r="H357" s="60"/>
      <c r="I357" s="60"/>
      <c r="J357" s="60"/>
      <c r="K357" s="60"/>
      <c r="L357" s="60"/>
      <c r="M357" s="60"/>
      <c r="N357" s="60"/>
      <c r="O357" s="60"/>
      <c r="P357" s="60"/>
      <c r="Q357" s="60"/>
      <c r="R357" s="60"/>
      <c r="S357" s="60"/>
      <c r="T357" s="60"/>
      <c r="U357" s="60"/>
      <c r="V357" s="60"/>
      <c r="W357" s="60"/>
    </row>
    <row r="358" spans="7:23" x14ac:dyDescent="0.25">
      <c r="G358" s="60"/>
      <c r="H358" s="60"/>
      <c r="I358" s="60"/>
      <c r="J358" s="60"/>
      <c r="K358" s="60"/>
      <c r="L358" s="60"/>
      <c r="M358" s="60"/>
      <c r="N358" s="60"/>
      <c r="O358" s="60"/>
      <c r="P358" s="60"/>
      <c r="Q358" s="60"/>
      <c r="R358" s="60"/>
      <c r="S358" s="60"/>
      <c r="T358" s="60"/>
      <c r="U358" s="60"/>
      <c r="V358" s="60"/>
      <c r="W358" s="60"/>
    </row>
    <row r="359" spans="7:23" x14ac:dyDescent="0.25">
      <c r="G359" s="60"/>
      <c r="H359" s="60"/>
      <c r="I359" s="60"/>
      <c r="J359" s="60"/>
      <c r="K359" s="60"/>
      <c r="L359" s="60"/>
      <c r="M359" s="60"/>
      <c r="N359" s="60"/>
      <c r="O359" s="60"/>
      <c r="P359" s="60"/>
      <c r="Q359" s="60"/>
      <c r="R359" s="60"/>
      <c r="S359" s="60"/>
      <c r="T359" s="60"/>
      <c r="U359" s="60"/>
      <c r="V359" s="60"/>
      <c r="W359" s="60"/>
    </row>
    <row r="360" spans="7:23" x14ac:dyDescent="0.25">
      <c r="G360" s="60"/>
      <c r="H360" s="60"/>
      <c r="I360" s="60"/>
      <c r="J360" s="60"/>
      <c r="K360" s="60"/>
      <c r="L360" s="60"/>
      <c r="M360" s="60"/>
      <c r="N360" s="60"/>
      <c r="O360" s="60"/>
      <c r="P360" s="60"/>
      <c r="Q360" s="60"/>
      <c r="R360" s="60"/>
      <c r="S360" s="60"/>
      <c r="T360" s="60"/>
      <c r="U360" s="60"/>
      <c r="V360" s="60"/>
      <c r="W360" s="60"/>
    </row>
    <row r="361" spans="7:23" x14ac:dyDescent="0.25">
      <c r="G361" s="60"/>
      <c r="H361" s="60"/>
      <c r="I361" s="60"/>
      <c r="J361" s="60"/>
      <c r="K361" s="60"/>
      <c r="L361" s="60"/>
      <c r="M361" s="60"/>
      <c r="N361" s="60"/>
      <c r="O361" s="60"/>
      <c r="P361" s="60"/>
      <c r="Q361" s="60"/>
      <c r="R361" s="60"/>
      <c r="S361" s="60"/>
      <c r="T361" s="60"/>
      <c r="U361" s="60"/>
      <c r="V361" s="60"/>
      <c r="W361" s="60"/>
    </row>
    <row r="362" spans="7:23" x14ac:dyDescent="0.25">
      <c r="G362" s="60"/>
      <c r="H362" s="60"/>
      <c r="I362" s="60"/>
      <c r="J362" s="60"/>
      <c r="K362" s="60"/>
      <c r="L362" s="60"/>
      <c r="M362" s="60"/>
      <c r="N362" s="60"/>
      <c r="O362" s="60"/>
      <c r="P362" s="60"/>
      <c r="Q362" s="60"/>
      <c r="R362" s="60"/>
      <c r="S362" s="60"/>
      <c r="T362" s="60"/>
      <c r="U362" s="60"/>
      <c r="V362" s="60"/>
      <c r="W362" s="60"/>
    </row>
    <row r="363" spans="7:23" x14ac:dyDescent="0.25">
      <c r="G363" s="60"/>
      <c r="H363" s="60"/>
      <c r="I363" s="60"/>
      <c r="J363" s="60"/>
      <c r="K363" s="60"/>
      <c r="L363" s="60"/>
      <c r="M363" s="60"/>
      <c r="N363" s="60"/>
      <c r="O363" s="60"/>
      <c r="P363" s="60"/>
      <c r="Q363" s="60"/>
      <c r="R363" s="60"/>
      <c r="S363" s="60"/>
      <c r="T363" s="60"/>
      <c r="U363" s="60"/>
      <c r="V363" s="60"/>
      <c r="W363" s="60"/>
    </row>
    <row r="364" spans="7:23" x14ac:dyDescent="0.25">
      <c r="G364" s="60"/>
      <c r="H364" s="60"/>
      <c r="I364" s="60"/>
      <c r="J364" s="60"/>
      <c r="K364" s="60"/>
      <c r="L364" s="60"/>
      <c r="M364" s="60"/>
      <c r="N364" s="60"/>
      <c r="O364" s="60"/>
      <c r="P364" s="60"/>
      <c r="Q364" s="60"/>
      <c r="R364" s="60"/>
      <c r="S364" s="60"/>
      <c r="T364" s="60"/>
      <c r="U364" s="60"/>
      <c r="V364" s="60"/>
      <c r="W364" s="60"/>
    </row>
    <row r="365" spans="7:23" x14ac:dyDescent="0.25">
      <c r="G365" s="60"/>
      <c r="H365" s="60"/>
      <c r="I365" s="60"/>
      <c r="J365" s="60"/>
      <c r="K365" s="60"/>
      <c r="L365" s="60"/>
      <c r="M365" s="60"/>
      <c r="N365" s="60"/>
      <c r="O365" s="60"/>
      <c r="P365" s="60"/>
      <c r="Q365" s="60"/>
      <c r="R365" s="60"/>
      <c r="S365" s="60"/>
      <c r="T365" s="60"/>
      <c r="U365" s="60"/>
      <c r="V365" s="60"/>
      <c r="W365" s="60"/>
    </row>
    <row r="366" spans="7:23" x14ac:dyDescent="0.25">
      <c r="G366" s="60"/>
      <c r="H366" s="60"/>
      <c r="I366" s="60"/>
      <c r="J366" s="60"/>
      <c r="K366" s="60"/>
      <c r="L366" s="60"/>
      <c r="M366" s="60"/>
      <c r="N366" s="60"/>
      <c r="O366" s="60"/>
      <c r="P366" s="60"/>
      <c r="Q366" s="60"/>
      <c r="R366" s="60"/>
      <c r="S366" s="60"/>
      <c r="T366" s="60"/>
      <c r="U366" s="60"/>
      <c r="V366" s="60"/>
      <c r="W366" s="60"/>
    </row>
    <row r="367" spans="7:23" x14ac:dyDescent="0.25">
      <c r="G367" s="60"/>
      <c r="H367" s="60"/>
      <c r="I367" s="60"/>
      <c r="J367" s="60"/>
      <c r="K367" s="60"/>
      <c r="L367" s="60"/>
      <c r="M367" s="60"/>
      <c r="N367" s="60"/>
      <c r="O367" s="60"/>
      <c r="P367" s="60"/>
      <c r="Q367" s="60"/>
      <c r="R367" s="60"/>
      <c r="S367" s="60"/>
      <c r="T367" s="60"/>
      <c r="U367" s="60"/>
      <c r="V367" s="60"/>
      <c r="W367" s="60"/>
    </row>
    <row r="368" spans="7:23" x14ac:dyDescent="0.25">
      <c r="G368" s="60"/>
      <c r="H368" s="60"/>
      <c r="I368" s="60"/>
      <c r="J368" s="60"/>
      <c r="K368" s="60"/>
      <c r="L368" s="60"/>
      <c r="M368" s="60"/>
      <c r="N368" s="60"/>
      <c r="O368" s="60"/>
      <c r="P368" s="60"/>
      <c r="Q368" s="60"/>
      <c r="R368" s="60"/>
      <c r="S368" s="60"/>
      <c r="T368" s="60"/>
      <c r="U368" s="60"/>
      <c r="V368" s="60"/>
      <c r="W368" s="60"/>
    </row>
    <row r="369" spans="7:23" x14ac:dyDescent="0.25">
      <c r="G369" s="60"/>
      <c r="H369" s="60"/>
      <c r="I369" s="60"/>
      <c r="J369" s="60"/>
      <c r="K369" s="60"/>
      <c r="L369" s="60"/>
      <c r="M369" s="60"/>
      <c r="N369" s="60"/>
      <c r="O369" s="60"/>
      <c r="P369" s="60"/>
      <c r="Q369" s="60"/>
      <c r="R369" s="60"/>
      <c r="S369" s="60"/>
      <c r="T369" s="60"/>
      <c r="U369" s="60"/>
      <c r="V369" s="60"/>
      <c r="W369" s="60"/>
    </row>
    <row r="370" spans="7:23" x14ac:dyDescent="0.25">
      <c r="G370" s="60"/>
      <c r="H370" s="60"/>
      <c r="I370" s="60"/>
      <c r="J370" s="60"/>
      <c r="K370" s="60"/>
      <c r="L370" s="60"/>
      <c r="M370" s="60"/>
      <c r="N370" s="60"/>
      <c r="O370" s="60"/>
      <c r="P370" s="60"/>
      <c r="Q370" s="60"/>
      <c r="R370" s="60"/>
      <c r="S370" s="60"/>
      <c r="T370" s="60"/>
      <c r="U370" s="60"/>
      <c r="V370" s="60"/>
      <c r="W370" s="60"/>
    </row>
    <row r="371" spans="7:23" x14ac:dyDescent="0.25">
      <c r="G371" s="60"/>
      <c r="H371" s="60"/>
      <c r="I371" s="60"/>
      <c r="J371" s="60"/>
      <c r="K371" s="60"/>
      <c r="L371" s="60"/>
      <c r="M371" s="60"/>
      <c r="N371" s="60"/>
      <c r="O371" s="60"/>
      <c r="P371" s="60"/>
      <c r="Q371" s="60"/>
      <c r="R371" s="60"/>
      <c r="S371" s="60"/>
      <c r="T371" s="60"/>
      <c r="U371" s="60"/>
      <c r="V371" s="60"/>
      <c r="W371" s="60"/>
    </row>
    <row r="372" spans="7:23" x14ac:dyDescent="0.25">
      <c r="G372" s="60"/>
      <c r="H372" s="60"/>
      <c r="I372" s="60"/>
      <c r="J372" s="60"/>
      <c r="K372" s="60"/>
      <c r="L372" s="60"/>
      <c r="M372" s="60"/>
      <c r="N372" s="60"/>
      <c r="O372" s="60"/>
      <c r="P372" s="60"/>
      <c r="Q372" s="60"/>
      <c r="R372" s="60"/>
      <c r="S372" s="60"/>
      <c r="T372" s="60"/>
      <c r="U372" s="60"/>
      <c r="V372" s="60"/>
      <c r="W372" s="60"/>
    </row>
    <row r="373" spans="7:23" x14ac:dyDescent="0.25">
      <c r="G373" s="60"/>
      <c r="H373" s="60"/>
      <c r="I373" s="60"/>
      <c r="J373" s="60"/>
      <c r="K373" s="60"/>
      <c r="L373" s="60"/>
      <c r="M373" s="60"/>
      <c r="N373" s="60"/>
      <c r="O373" s="60"/>
      <c r="P373" s="60"/>
      <c r="Q373" s="60"/>
      <c r="R373" s="60"/>
      <c r="S373" s="60"/>
      <c r="T373" s="60"/>
      <c r="U373" s="60"/>
      <c r="V373" s="60"/>
      <c r="W373" s="60"/>
    </row>
    <row r="374" spans="7:23" x14ac:dyDescent="0.25">
      <c r="G374" s="60"/>
      <c r="H374" s="60"/>
      <c r="I374" s="60"/>
      <c r="J374" s="60"/>
      <c r="K374" s="60"/>
      <c r="L374" s="60"/>
      <c r="M374" s="60"/>
      <c r="N374" s="60"/>
      <c r="O374" s="60"/>
      <c r="P374" s="60"/>
      <c r="Q374" s="60"/>
      <c r="R374" s="60"/>
      <c r="S374" s="60"/>
      <c r="T374" s="60"/>
      <c r="U374" s="60"/>
      <c r="V374" s="60"/>
      <c r="W374" s="60"/>
    </row>
    <row r="375" spans="7:23" x14ac:dyDescent="0.25">
      <c r="G375" s="60"/>
      <c r="H375" s="60"/>
      <c r="I375" s="60"/>
      <c r="J375" s="60"/>
      <c r="K375" s="60"/>
      <c r="L375" s="60"/>
      <c r="M375" s="60"/>
      <c r="N375" s="60"/>
      <c r="O375" s="60"/>
      <c r="P375" s="60"/>
      <c r="Q375" s="60"/>
      <c r="R375" s="60"/>
      <c r="S375" s="60"/>
      <c r="T375" s="60"/>
      <c r="U375" s="60"/>
      <c r="V375" s="60"/>
      <c r="W375" s="60"/>
    </row>
    <row r="376" spans="7:23" x14ac:dyDescent="0.25">
      <c r="G376" s="60"/>
      <c r="H376" s="60"/>
      <c r="I376" s="60"/>
      <c r="J376" s="60"/>
      <c r="K376" s="60"/>
      <c r="L376" s="60"/>
      <c r="M376" s="60"/>
      <c r="N376" s="60"/>
      <c r="O376" s="60"/>
      <c r="P376" s="60"/>
      <c r="Q376" s="60"/>
      <c r="R376" s="60"/>
      <c r="S376" s="60"/>
      <c r="T376" s="60"/>
      <c r="U376" s="60"/>
      <c r="V376" s="60"/>
      <c r="W376" s="60"/>
    </row>
    <row r="377" spans="7:23" x14ac:dyDescent="0.25">
      <c r="G377" s="60"/>
      <c r="H377" s="60"/>
      <c r="I377" s="60"/>
      <c r="J377" s="60"/>
      <c r="K377" s="60"/>
      <c r="L377" s="60"/>
      <c r="M377" s="60"/>
      <c r="N377" s="60"/>
      <c r="O377" s="60"/>
      <c r="P377" s="60"/>
      <c r="Q377" s="60"/>
      <c r="R377" s="60"/>
      <c r="S377" s="60"/>
      <c r="T377" s="60"/>
      <c r="U377" s="60"/>
      <c r="V377" s="60"/>
      <c r="W377" s="60"/>
    </row>
    <row r="378" spans="7:23" x14ac:dyDescent="0.25">
      <c r="G378" s="60"/>
      <c r="H378" s="60"/>
      <c r="I378" s="60"/>
      <c r="J378" s="60"/>
      <c r="K378" s="60"/>
      <c r="L378" s="60"/>
      <c r="M378" s="60"/>
      <c r="N378" s="60"/>
      <c r="O378" s="60"/>
      <c r="P378" s="60"/>
      <c r="Q378" s="60"/>
      <c r="R378" s="60"/>
      <c r="S378" s="60"/>
      <c r="T378" s="60"/>
      <c r="U378" s="60"/>
      <c r="V378" s="60"/>
      <c r="W378" s="60"/>
    </row>
    <row r="379" spans="7:23" x14ac:dyDescent="0.25">
      <c r="G379" s="60"/>
      <c r="H379" s="60"/>
      <c r="I379" s="60"/>
      <c r="J379" s="60"/>
      <c r="K379" s="60"/>
      <c r="L379" s="60"/>
      <c r="M379" s="60"/>
      <c r="N379" s="60"/>
      <c r="O379" s="60"/>
      <c r="P379" s="60"/>
      <c r="Q379" s="60"/>
      <c r="R379" s="60"/>
      <c r="S379" s="60"/>
      <c r="T379" s="60"/>
      <c r="U379" s="60"/>
      <c r="V379" s="60"/>
      <c r="W379" s="60"/>
    </row>
    <row r="380" spans="7:23" x14ac:dyDescent="0.25">
      <c r="G380" s="60"/>
      <c r="H380" s="60"/>
      <c r="I380" s="60"/>
      <c r="J380" s="60"/>
      <c r="K380" s="60"/>
      <c r="L380" s="60"/>
      <c r="M380" s="60"/>
      <c r="N380" s="60"/>
      <c r="O380" s="60"/>
      <c r="P380" s="60"/>
      <c r="Q380" s="60"/>
      <c r="R380" s="60"/>
      <c r="S380" s="60"/>
      <c r="T380" s="60"/>
      <c r="U380" s="60"/>
      <c r="V380" s="60"/>
      <c r="W380" s="60"/>
    </row>
    <row r="381" spans="7:23" x14ac:dyDescent="0.25">
      <c r="G381" s="60"/>
      <c r="H381" s="60"/>
      <c r="I381" s="60"/>
      <c r="J381" s="60"/>
      <c r="K381" s="60"/>
      <c r="L381" s="60"/>
      <c r="M381" s="60"/>
      <c r="N381" s="60"/>
      <c r="O381" s="60"/>
      <c r="P381" s="60"/>
      <c r="Q381" s="60"/>
      <c r="R381" s="60"/>
      <c r="S381" s="60"/>
      <c r="T381" s="60"/>
      <c r="U381" s="60"/>
      <c r="V381" s="60"/>
      <c r="W381" s="60"/>
    </row>
    <row r="382" spans="7:23" x14ac:dyDescent="0.25">
      <c r="G382" s="60"/>
      <c r="H382" s="60"/>
      <c r="I382" s="60"/>
      <c r="J382" s="60"/>
      <c r="K382" s="60"/>
      <c r="L382" s="60"/>
      <c r="M382" s="60"/>
      <c r="N382" s="60"/>
      <c r="O382" s="60"/>
      <c r="P382" s="60"/>
      <c r="Q382" s="60"/>
      <c r="R382" s="60"/>
      <c r="S382" s="60"/>
      <c r="T382" s="60"/>
      <c r="U382" s="60"/>
      <c r="V382" s="60"/>
      <c r="W382" s="60"/>
    </row>
    <row r="383" spans="7:23" x14ac:dyDescent="0.25">
      <c r="G383" s="60"/>
      <c r="H383" s="60"/>
      <c r="I383" s="60"/>
      <c r="J383" s="60"/>
      <c r="K383" s="60"/>
      <c r="L383" s="60"/>
      <c r="M383" s="60"/>
      <c r="N383" s="60"/>
      <c r="O383" s="60"/>
      <c r="P383" s="60"/>
      <c r="Q383" s="60"/>
      <c r="R383" s="60"/>
      <c r="S383" s="60"/>
      <c r="T383" s="60"/>
      <c r="U383" s="60"/>
      <c r="V383" s="60"/>
      <c r="W383" s="60"/>
    </row>
    <row r="384" spans="7:23" x14ac:dyDescent="0.25">
      <c r="G384" s="60"/>
      <c r="H384" s="60"/>
      <c r="I384" s="60"/>
      <c r="J384" s="60"/>
      <c r="K384" s="60"/>
      <c r="L384" s="60"/>
      <c r="M384" s="60"/>
      <c r="N384" s="60"/>
      <c r="O384" s="60"/>
      <c r="P384" s="60"/>
      <c r="Q384" s="60"/>
      <c r="R384" s="60"/>
      <c r="S384" s="60"/>
      <c r="T384" s="60"/>
      <c r="U384" s="60"/>
      <c r="V384" s="60"/>
      <c r="W384" s="60"/>
    </row>
    <row r="385" spans="7:23" x14ac:dyDescent="0.25">
      <c r="G385" s="60"/>
      <c r="H385" s="60"/>
      <c r="I385" s="60"/>
      <c r="J385" s="60"/>
      <c r="K385" s="60"/>
      <c r="L385" s="60"/>
      <c r="M385" s="60"/>
      <c r="N385" s="60"/>
      <c r="O385" s="60"/>
      <c r="P385" s="60"/>
      <c r="Q385" s="60"/>
      <c r="R385" s="60"/>
      <c r="S385" s="60"/>
      <c r="T385" s="60"/>
      <c r="U385" s="60"/>
      <c r="V385" s="60"/>
      <c r="W385" s="60"/>
    </row>
    <row r="386" spans="7:23" x14ac:dyDescent="0.25">
      <c r="G386" s="60"/>
      <c r="H386" s="60"/>
      <c r="I386" s="60"/>
      <c r="J386" s="60"/>
      <c r="K386" s="60"/>
      <c r="L386" s="60"/>
      <c r="M386" s="60"/>
      <c r="N386" s="60"/>
      <c r="O386" s="60"/>
      <c r="P386" s="60"/>
      <c r="Q386" s="60"/>
      <c r="R386" s="60"/>
      <c r="S386" s="60"/>
      <c r="T386" s="60"/>
      <c r="U386" s="60"/>
      <c r="V386" s="60"/>
      <c r="W386" s="60"/>
    </row>
    <row r="387" spans="7:23" x14ac:dyDescent="0.25">
      <c r="G387" s="60"/>
      <c r="H387" s="60"/>
      <c r="I387" s="60"/>
      <c r="J387" s="60"/>
      <c r="K387" s="60"/>
      <c r="L387" s="60"/>
      <c r="M387" s="60"/>
      <c r="N387" s="60"/>
      <c r="O387" s="60"/>
      <c r="P387" s="60"/>
      <c r="Q387" s="60"/>
      <c r="R387" s="60"/>
      <c r="S387" s="60"/>
      <c r="T387" s="60"/>
      <c r="U387" s="60"/>
      <c r="V387" s="60"/>
      <c r="W387" s="60"/>
    </row>
    <row r="388" spans="7:23" x14ac:dyDescent="0.25">
      <c r="G388" s="60"/>
      <c r="H388" s="60"/>
      <c r="I388" s="60"/>
      <c r="J388" s="60"/>
      <c r="K388" s="60"/>
      <c r="L388" s="60"/>
      <c r="M388" s="60"/>
      <c r="N388" s="60"/>
      <c r="O388" s="60"/>
      <c r="P388" s="60"/>
      <c r="Q388" s="60"/>
      <c r="R388" s="60"/>
      <c r="S388" s="60"/>
      <c r="T388" s="60"/>
      <c r="U388" s="60"/>
      <c r="V388" s="60"/>
      <c r="W388" s="60"/>
    </row>
    <row r="389" spans="7:23" x14ac:dyDescent="0.25">
      <c r="G389" s="60"/>
      <c r="H389" s="60"/>
      <c r="I389" s="60"/>
      <c r="J389" s="60"/>
      <c r="K389" s="60"/>
      <c r="L389" s="60"/>
      <c r="M389" s="60"/>
      <c r="N389" s="60"/>
      <c r="O389" s="60"/>
      <c r="P389" s="60"/>
      <c r="Q389" s="60"/>
      <c r="R389" s="60"/>
      <c r="S389" s="60"/>
      <c r="T389" s="60"/>
      <c r="U389" s="60"/>
      <c r="V389" s="60"/>
      <c r="W389" s="60"/>
    </row>
    <row r="390" spans="7:23" x14ac:dyDescent="0.25">
      <c r="G390" s="60"/>
      <c r="H390" s="60"/>
      <c r="I390" s="60"/>
      <c r="J390" s="60"/>
      <c r="K390" s="60"/>
      <c r="L390" s="60"/>
      <c r="M390" s="60"/>
      <c r="N390" s="60"/>
      <c r="O390" s="60"/>
      <c r="P390" s="60"/>
      <c r="Q390" s="60"/>
      <c r="R390" s="60"/>
      <c r="S390" s="60"/>
      <c r="T390" s="60"/>
      <c r="U390" s="60"/>
      <c r="V390" s="60"/>
      <c r="W390" s="60"/>
    </row>
    <row r="391" spans="7:23" x14ac:dyDescent="0.25">
      <c r="G391" s="60"/>
      <c r="H391" s="60"/>
      <c r="I391" s="60"/>
      <c r="J391" s="60"/>
      <c r="K391" s="60"/>
      <c r="L391" s="60"/>
      <c r="M391" s="60"/>
      <c r="N391" s="60"/>
      <c r="O391" s="60"/>
      <c r="P391" s="60"/>
      <c r="Q391" s="60"/>
      <c r="R391" s="60"/>
      <c r="S391" s="60"/>
      <c r="T391" s="60"/>
      <c r="U391" s="60"/>
      <c r="V391" s="60"/>
      <c r="W391" s="60"/>
    </row>
    <row r="392" spans="7:23" x14ac:dyDescent="0.25">
      <c r="G392" s="60"/>
      <c r="H392" s="60"/>
      <c r="I392" s="60"/>
      <c r="J392" s="60"/>
      <c r="K392" s="60"/>
      <c r="L392" s="60"/>
      <c r="M392" s="60"/>
      <c r="N392" s="60"/>
      <c r="O392" s="60"/>
      <c r="P392" s="60"/>
      <c r="Q392" s="60"/>
      <c r="R392" s="60"/>
      <c r="S392" s="60"/>
      <c r="T392" s="60"/>
      <c r="U392" s="60"/>
      <c r="V392" s="60"/>
      <c r="W392" s="60"/>
    </row>
    <row r="393" spans="7:23" x14ac:dyDescent="0.25">
      <c r="G393" s="60"/>
      <c r="H393" s="60"/>
      <c r="I393" s="60"/>
      <c r="J393" s="60"/>
      <c r="K393" s="60"/>
      <c r="L393" s="60"/>
      <c r="M393" s="60"/>
      <c r="N393" s="60"/>
      <c r="O393" s="60"/>
      <c r="P393" s="60"/>
      <c r="Q393" s="60"/>
      <c r="R393" s="60"/>
      <c r="S393" s="60"/>
      <c r="T393" s="60"/>
      <c r="U393" s="60"/>
      <c r="V393" s="60"/>
      <c r="W393" s="60"/>
    </row>
    <row r="394" spans="7:23" x14ac:dyDescent="0.25">
      <c r="G394" s="60"/>
      <c r="H394" s="60"/>
      <c r="I394" s="60"/>
      <c r="J394" s="60"/>
      <c r="K394" s="60"/>
      <c r="L394" s="60"/>
      <c r="M394" s="60"/>
      <c r="N394" s="60"/>
      <c r="O394" s="60"/>
      <c r="P394" s="60"/>
      <c r="Q394" s="60"/>
      <c r="R394" s="60"/>
      <c r="S394" s="60"/>
      <c r="T394" s="60"/>
      <c r="U394" s="60"/>
      <c r="V394" s="60"/>
      <c r="W394" s="60"/>
    </row>
    <row r="395" spans="7:23" x14ac:dyDescent="0.25">
      <c r="G395" s="60"/>
      <c r="H395" s="60"/>
      <c r="I395" s="60"/>
      <c r="J395" s="60"/>
      <c r="K395" s="60"/>
      <c r="L395" s="60"/>
      <c r="M395" s="60"/>
      <c r="N395" s="60"/>
      <c r="O395" s="60"/>
      <c r="P395" s="60"/>
      <c r="Q395" s="60"/>
      <c r="R395" s="60"/>
      <c r="S395" s="60"/>
      <c r="T395" s="60"/>
      <c r="U395" s="60"/>
      <c r="V395" s="60"/>
      <c r="W395" s="60"/>
    </row>
    <row r="396" spans="7:23" x14ac:dyDescent="0.25">
      <c r="G396" s="60"/>
      <c r="H396" s="60"/>
      <c r="I396" s="60"/>
      <c r="J396" s="60"/>
      <c r="K396" s="60"/>
      <c r="L396" s="60"/>
      <c r="M396" s="60"/>
      <c r="N396" s="60"/>
      <c r="O396" s="60"/>
      <c r="P396" s="60"/>
      <c r="Q396" s="60"/>
      <c r="R396" s="60"/>
      <c r="S396" s="60"/>
      <c r="T396" s="60"/>
      <c r="U396" s="60"/>
      <c r="V396" s="60"/>
      <c r="W396" s="60"/>
    </row>
    <row r="397" spans="7:23" x14ac:dyDescent="0.25">
      <c r="G397" s="60"/>
      <c r="H397" s="60"/>
      <c r="I397" s="60"/>
      <c r="J397" s="60"/>
      <c r="K397" s="60"/>
      <c r="L397" s="60"/>
      <c r="M397" s="60"/>
      <c r="N397" s="60"/>
      <c r="O397" s="60"/>
      <c r="P397" s="60"/>
      <c r="Q397" s="60"/>
      <c r="R397" s="60"/>
      <c r="S397" s="60"/>
      <c r="T397" s="60"/>
      <c r="U397" s="60"/>
      <c r="V397" s="60"/>
      <c r="W397" s="60"/>
    </row>
    <row r="398" spans="7:23" x14ac:dyDescent="0.25">
      <c r="G398" s="60"/>
      <c r="H398" s="60"/>
      <c r="I398" s="60"/>
      <c r="J398" s="60"/>
      <c r="K398" s="60"/>
      <c r="L398" s="60"/>
      <c r="M398" s="60"/>
      <c r="N398" s="60"/>
      <c r="O398" s="60"/>
      <c r="P398" s="60"/>
      <c r="Q398" s="60"/>
      <c r="R398" s="60"/>
      <c r="S398" s="60"/>
      <c r="T398" s="60"/>
      <c r="U398" s="60"/>
      <c r="V398" s="60"/>
      <c r="W398" s="60"/>
    </row>
    <row r="399" spans="7:23" x14ac:dyDescent="0.25">
      <c r="G399" s="60"/>
      <c r="H399" s="60"/>
      <c r="I399" s="60"/>
      <c r="J399" s="60"/>
      <c r="K399" s="60"/>
      <c r="L399" s="60"/>
      <c r="M399" s="60"/>
      <c r="N399" s="60"/>
      <c r="O399" s="60"/>
      <c r="P399" s="60"/>
      <c r="Q399" s="60"/>
      <c r="R399" s="60"/>
      <c r="S399" s="60"/>
      <c r="T399" s="60"/>
      <c r="U399" s="60"/>
      <c r="V399" s="60"/>
      <c r="W399" s="60"/>
    </row>
    <row r="400" spans="7:23" x14ac:dyDescent="0.25">
      <c r="G400" s="60"/>
      <c r="H400" s="60"/>
      <c r="I400" s="60"/>
      <c r="J400" s="60"/>
      <c r="K400" s="60"/>
      <c r="L400" s="60"/>
      <c r="M400" s="60"/>
      <c r="N400" s="60"/>
      <c r="O400" s="60"/>
      <c r="P400" s="60"/>
      <c r="Q400" s="60"/>
      <c r="R400" s="60"/>
      <c r="S400" s="60"/>
      <c r="T400" s="60"/>
      <c r="U400" s="60"/>
      <c r="V400" s="60"/>
      <c r="W400" s="60"/>
    </row>
    <row r="401" spans="7:23" x14ac:dyDescent="0.25">
      <c r="G401" s="60"/>
      <c r="H401" s="60"/>
      <c r="I401" s="60"/>
      <c r="J401" s="60"/>
      <c r="K401" s="60"/>
      <c r="L401" s="60"/>
      <c r="M401" s="60"/>
      <c r="N401" s="60"/>
      <c r="O401" s="60"/>
      <c r="P401" s="60"/>
      <c r="Q401" s="60"/>
      <c r="R401" s="60"/>
      <c r="S401" s="60"/>
      <c r="T401" s="60"/>
      <c r="U401" s="60"/>
      <c r="V401" s="60"/>
      <c r="W401" s="60"/>
    </row>
    <row r="402" spans="7:23" x14ac:dyDescent="0.25">
      <c r="G402" s="60"/>
      <c r="H402" s="60"/>
      <c r="I402" s="60"/>
      <c r="J402" s="60"/>
      <c r="K402" s="60"/>
      <c r="L402" s="60"/>
      <c r="M402" s="60"/>
      <c r="N402" s="60"/>
      <c r="O402" s="60"/>
      <c r="P402" s="60"/>
      <c r="Q402" s="60"/>
      <c r="R402" s="60"/>
      <c r="S402" s="60"/>
      <c r="T402" s="60"/>
      <c r="U402" s="60"/>
      <c r="V402" s="60"/>
      <c r="W402" s="60"/>
    </row>
    <row r="403" spans="7:23" x14ac:dyDescent="0.25">
      <c r="G403" s="60"/>
      <c r="H403" s="60"/>
      <c r="I403" s="60"/>
      <c r="J403" s="60"/>
      <c r="K403" s="60"/>
      <c r="L403" s="60"/>
      <c r="M403" s="60"/>
      <c r="N403" s="60"/>
      <c r="O403" s="60"/>
      <c r="P403" s="60"/>
      <c r="Q403" s="60"/>
      <c r="R403" s="60"/>
      <c r="S403" s="60"/>
      <c r="T403" s="60"/>
      <c r="U403" s="60"/>
      <c r="V403" s="60"/>
      <c r="W403" s="60"/>
    </row>
    <row r="404" spans="7:23" x14ac:dyDescent="0.25">
      <c r="G404" s="60"/>
      <c r="H404" s="60"/>
      <c r="I404" s="60"/>
      <c r="J404" s="60"/>
      <c r="K404" s="60"/>
      <c r="L404" s="60"/>
      <c r="M404" s="60"/>
      <c r="N404" s="60"/>
      <c r="O404" s="60"/>
      <c r="P404" s="60"/>
      <c r="Q404" s="60"/>
      <c r="R404" s="60"/>
      <c r="S404" s="60"/>
      <c r="T404" s="60"/>
      <c r="U404" s="60"/>
      <c r="V404" s="60"/>
      <c r="W404" s="60"/>
    </row>
    <row r="405" spans="7:23" x14ac:dyDescent="0.25">
      <c r="G405" s="60"/>
      <c r="H405" s="60"/>
      <c r="I405" s="60"/>
      <c r="J405" s="60"/>
      <c r="K405" s="60"/>
      <c r="L405" s="60"/>
      <c r="M405" s="60"/>
      <c r="N405" s="60"/>
      <c r="O405" s="60"/>
      <c r="P405" s="60"/>
      <c r="Q405" s="60"/>
      <c r="R405" s="60"/>
      <c r="S405" s="60"/>
      <c r="T405" s="60"/>
      <c r="U405" s="60"/>
      <c r="V405" s="60"/>
      <c r="W405" s="60"/>
    </row>
    <row r="406" spans="7:23" x14ac:dyDescent="0.25">
      <c r="G406" s="60"/>
      <c r="H406" s="60"/>
      <c r="I406" s="60"/>
      <c r="J406" s="60"/>
      <c r="K406" s="60"/>
      <c r="L406" s="60"/>
      <c r="M406" s="60"/>
      <c r="N406" s="60"/>
      <c r="O406" s="60"/>
      <c r="P406" s="60"/>
      <c r="Q406" s="60"/>
      <c r="R406" s="60"/>
      <c r="S406" s="60"/>
      <c r="T406" s="60"/>
      <c r="U406" s="60"/>
      <c r="V406" s="60"/>
      <c r="W406" s="60"/>
    </row>
    <row r="407" spans="7:23" x14ac:dyDescent="0.25">
      <c r="G407" s="60"/>
      <c r="H407" s="60"/>
      <c r="I407" s="60"/>
      <c r="J407" s="60"/>
      <c r="K407" s="60"/>
      <c r="L407" s="60"/>
      <c r="M407" s="60"/>
      <c r="N407" s="60"/>
      <c r="O407" s="60"/>
      <c r="P407" s="60"/>
      <c r="Q407" s="60"/>
      <c r="R407" s="60"/>
      <c r="S407" s="60"/>
      <c r="T407" s="60"/>
      <c r="U407" s="60"/>
      <c r="V407" s="60"/>
      <c r="W407" s="60"/>
    </row>
    <row r="408" spans="7:23" x14ac:dyDescent="0.25">
      <c r="G408" s="60"/>
      <c r="H408" s="60"/>
      <c r="I408" s="60"/>
      <c r="J408" s="60"/>
      <c r="K408" s="60"/>
      <c r="L408" s="60"/>
      <c r="M408" s="60"/>
      <c r="N408" s="60"/>
      <c r="O408" s="60"/>
      <c r="P408" s="60"/>
      <c r="Q408" s="60"/>
      <c r="R408" s="60"/>
      <c r="S408" s="60"/>
      <c r="T408" s="60"/>
      <c r="U408" s="60"/>
      <c r="V408" s="60"/>
      <c r="W408" s="60"/>
    </row>
    <row r="409" spans="7:23" x14ac:dyDescent="0.25">
      <c r="G409" s="60"/>
      <c r="H409" s="60"/>
      <c r="I409" s="60"/>
      <c r="J409" s="60"/>
      <c r="K409" s="60"/>
      <c r="L409" s="60"/>
      <c r="M409" s="60"/>
      <c r="N409" s="60"/>
      <c r="O409" s="60"/>
      <c r="P409" s="60"/>
      <c r="Q409" s="60"/>
      <c r="R409" s="60"/>
      <c r="S409" s="60"/>
      <c r="T409" s="60"/>
      <c r="U409" s="60"/>
      <c r="V409" s="60"/>
      <c r="W409" s="60"/>
    </row>
    <row r="410" spans="7:23" x14ac:dyDescent="0.25">
      <c r="G410" s="60"/>
      <c r="H410" s="60"/>
      <c r="I410" s="60"/>
      <c r="J410" s="60"/>
      <c r="K410" s="60"/>
      <c r="L410" s="60"/>
      <c r="M410" s="60"/>
      <c r="N410" s="60"/>
      <c r="O410" s="60"/>
      <c r="P410" s="60"/>
      <c r="Q410" s="60"/>
      <c r="R410" s="60"/>
      <c r="S410" s="60"/>
      <c r="T410" s="60"/>
      <c r="U410" s="60"/>
      <c r="V410" s="60"/>
      <c r="W410" s="60"/>
    </row>
    <row r="411" spans="7:23" x14ac:dyDescent="0.25">
      <c r="G411" s="60"/>
      <c r="H411" s="60"/>
      <c r="I411" s="60"/>
      <c r="J411" s="60"/>
      <c r="K411" s="60"/>
      <c r="L411" s="60"/>
      <c r="M411" s="60"/>
      <c r="N411" s="60"/>
      <c r="O411" s="60"/>
      <c r="P411" s="60"/>
      <c r="Q411" s="60"/>
      <c r="R411" s="60"/>
      <c r="S411" s="60"/>
      <c r="T411" s="60"/>
      <c r="U411" s="60"/>
      <c r="V411" s="60"/>
      <c r="W411" s="60"/>
    </row>
    <row r="412" spans="7:23" x14ac:dyDescent="0.25">
      <c r="G412" s="60"/>
      <c r="H412" s="60"/>
      <c r="I412" s="60"/>
      <c r="J412" s="60"/>
      <c r="K412" s="60"/>
      <c r="L412" s="60"/>
      <c r="M412" s="60"/>
      <c r="N412" s="60"/>
      <c r="O412" s="60"/>
      <c r="P412" s="60"/>
      <c r="Q412" s="60"/>
      <c r="R412" s="60"/>
      <c r="S412" s="60"/>
      <c r="T412" s="60"/>
      <c r="U412" s="60"/>
      <c r="V412" s="60"/>
      <c r="W412" s="60"/>
    </row>
    <row r="413" spans="7:23" x14ac:dyDescent="0.25">
      <c r="G413" s="60"/>
      <c r="H413" s="60"/>
      <c r="I413" s="60"/>
      <c r="J413" s="60"/>
      <c r="K413" s="60"/>
      <c r="L413" s="60"/>
      <c r="M413" s="60"/>
      <c r="N413" s="60"/>
      <c r="O413" s="60"/>
      <c r="P413" s="60"/>
      <c r="Q413" s="60"/>
      <c r="R413" s="60"/>
      <c r="S413" s="60"/>
      <c r="T413" s="60"/>
      <c r="U413" s="60"/>
      <c r="V413" s="60"/>
      <c r="W413" s="60"/>
    </row>
    <row r="414" spans="7:23" x14ac:dyDescent="0.25">
      <c r="G414" s="60"/>
      <c r="H414" s="60"/>
      <c r="I414" s="60"/>
      <c r="J414" s="60"/>
      <c r="K414" s="60"/>
      <c r="L414" s="60"/>
      <c r="M414" s="60"/>
      <c r="N414" s="60"/>
      <c r="O414" s="60"/>
      <c r="P414" s="60"/>
      <c r="Q414" s="60"/>
      <c r="R414" s="60"/>
      <c r="S414" s="60"/>
      <c r="T414" s="60"/>
      <c r="U414" s="60"/>
      <c r="V414" s="60"/>
      <c r="W414" s="60"/>
    </row>
    <row r="415" spans="7:23" x14ac:dyDescent="0.25">
      <c r="G415" s="60"/>
      <c r="H415" s="60"/>
      <c r="I415" s="60"/>
      <c r="J415" s="60"/>
      <c r="K415" s="60"/>
      <c r="L415" s="60"/>
      <c r="M415" s="60"/>
      <c r="N415" s="60"/>
      <c r="O415" s="60"/>
      <c r="P415" s="60"/>
      <c r="Q415" s="60"/>
      <c r="R415" s="60"/>
      <c r="S415" s="60"/>
      <c r="T415" s="60"/>
      <c r="U415" s="60"/>
      <c r="V415" s="60"/>
      <c r="W415" s="60"/>
    </row>
    <row r="416" spans="7:23" x14ac:dyDescent="0.25">
      <c r="G416" s="60"/>
      <c r="H416" s="60"/>
      <c r="I416" s="60"/>
      <c r="J416" s="60"/>
      <c r="K416" s="60"/>
      <c r="L416" s="60"/>
      <c r="M416" s="60"/>
      <c r="N416" s="60"/>
      <c r="O416" s="60"/>
      <c r="P416" s="60"/>
      <c r="Q416" s="60"/>
      <c r="R416" s="60"/>
      <c r="S416" s="60"/>
      <c r="T416" s="60"/>
      <c r="U416" s="60"/>
      <c r="V416" s="60"/>
      <c r="W416" s="60"/>
    </row>
    <row r="417" spans="7:23" x14ac:dyDescent="0.25">
      <c r="G417" s="60"/>
      <c r="H417" s="60"/>
      <c r="I417" s="60"/>
      <c r="J417" s="60"/>
      <c r="K417" s="60"/>
      <c r="L417" s="60"/>
      <c r="M417" s="60"/>
      <c r="N417" s="60"/>
      <c r="O417" s="60"/>
      <c r="P417" s="60"/>
      <c r="Q417" s="60"/>
      <c r="R417" s="60"/>
      <c r="S417" s="60"/>
      <c r="T417" s="60"/>
      <c r="U417" s="60"/>
      <c r="V417" s="60"/>
      <c r="W417" s="60"/>
    </row>
    <row r="418" spans="7:23" x14ac:dyDescent="0.25">
      <c r="G418" s="60"/>
      <c r="H418" s="60"/>
      <c r="I418" s="60"/>
      <c r="J418" s="60"/>
      <c r="K418" s="60"/>
      <c r="L418" s="60"/>
      <c r="M418" s="60"/>
      <c r="N418" s="60"/>
      <c r="O418" s="60"/>
      <c r="P418" s="60"/>
      <c r="Q418" s="60"/>
      <c r="R418" s="60"/>
      <c r="S418" s="60"/>
      <c r="T418" s="60"/>
      <c r="U418" s="60"/>
      <c r="V418" s="60"/>
      <c r="W418" s="60"/>
    </row>
    <row r="419" spans="7:23" x14ac:dyDescent="0.25">
      <c r="G419" s="60"/>
      <c r="H419" s="60"/>
      <c r="I419" s="60"/>
      <c r="J419" s="60"/>
      <c r="K419" s="60"/>
      <c r="L419" s="60"/>
      <c r="M419" s="60"/>
      <c r="N419" s="60"/>
      <c r="O419" s="60"/>
      <c r="P419" s="60"/>
      <c r="Q419" s="60"/>
      <c r="R419" s="60"/>
      <c r="S419" s="60"/>
      <c r="T419" s="60"/>
      <c r="U419" s="60"/>
      <c r="V419" s="60"/>
      <c r="W419" s="60"/>
    </row>
    <row r="420" spans="7:23" x14ac:dyDescent="0.25">
      <c r="G420" s="60"/>
      <c r="H420" s="60"/>
      <c r="I420" s="60"/>
      <c r="J420" s="60"/>
      <c r="K420" s="60"/>
      <c r="L420" s="60"/>
      <c r="M420" s="60"/>
      <c r="N420" s="60"/>
      <c r="O420" s="60"/>
      <c r="P420" s="60"/>
      <c r="Q420" s="60"/>
      <c r="R420" s="60"/>
      <c r="S420" s="60"/>
      <c r="T420" s="60"/>
      <c r="U420" s="60"/>
      <c r="V420" s="60"/>
      <c r="W420" s="60"/>
    </row>
    <row r="421" spans="7:23" x14ac:dyDescent="0.25">
      <c r="G421" s="60"/>
      <c r="H421" s="60"/>
      <c r="I421" s="60"/>
      <c r="J421" s="60"/>
      <c r="K421" s="60"/>
      <c r="L421" s="60"/>
      <c r="M421" s="60"/>
      <c r="N421" s="60"/>
      <c r="O421" s="60"/>
      <c r="P421" s="60"/>
      <c r="Q421" s="60"/>
      <c r="R421" s="60"/>
      <c r="S421" s="60"/>
      <c r="T421" s="60"/>
      <c r="U421" s="60"/>
      <c r="V421" s="60"/>
      <c r="W421" s="60"/>
    </row>
    <row r="422" spans="7:23" x14ac:dyDescent="0.25">
      <c r="G422" s="60"/>
      <c r="H422" s="60"/>
      <c r="I422" s="60"/>
      <c r="J422" s="60"/>
      <c r="K422" s="60"/>
      <c r="L422" s="60"/>
      <c r="M422" s="60"/>
      <c r="N422" s="60"/>
      <c r="O422" s="60"/>
      <c r="P422" s="60"/>
      <c r="Q422" s="60"/>
      <c r="R422" s="60"/>
      <c r="S422" s="60"/>
      <c r="T422" s="60"/>
      <c r="U422" s="60"/>
      <c r="V422" s="60"/>
      <c r="W422" s="60"/>
    </row>
    <row r="423" spans="7:23" x14ac:dyDescent="0.25">
      <c r="G423" s="60"/>
      <c r="H423" s="60"/>
      <c r="I423" s="60"/>
      <c r="J423" s="60"/>
      <c r="K423" s="60"/>
      <c r="L423" s="60"/>
      <c r="M423" s="60"/>
      <c r="N423" s="60"/>
      <c r="O423" s="60"/>
      <c r="P423" s="60"/>
      <c r="Q423" s="60"/>
      <c r="R423" s="60"/>
      <c r="S423" s="60"/>
      <c r="T423" s="60"/>
      <c r="U423" s="60"/>
      <c r="V423" s="60"/>
      <c r="W423" s="60"/>
    </row>
    <row r="424" spans="7:23" x14ac:dyDescent="0.25">
      <c r="G424" s="60"/>
      <c r="H424" s="60"/>
      <c r="I424" s="60"/>
      <c r="J424" s="60"/>
      <c r="K424" s="60"/>
      <c r="L424" s="60"/>
      <c r="M424" s="60"/>
      <c r="N424" s="60"/>
      <c r="O424" s="60"/>
      <c r="P424" s="60"/>
      <c r="Q424" s="60"/>
      <c r="R424" s="60"/>
      <c r="S424" s="60"/>
      <c r="T424" s="60"/>
      <c r="U424" s="60"/>
      <c r="V424" s="60"/>
      <c r="W424" s="60"/>
    </row>
    <row r="425" spans="7:23" x14ac:dyDescent="0.25">
      <c r="G425" s="60"/>
      <c r="H425" s="60"/>
      <c r="I425" s="60"/>
      <c r="J425" s="60"/>
      <c r="K425" s="60"/>
      <c r="L425" s="60"/>
      <c r="M425" s="60"/>
      <c r="N425" s="60"/>
      <c r="O425" s="60"/>
      <c r="P425" s="60"/>
      <c r="Q425" s="60"/>
      <c r="R425" s="60"/>
      <c r="S425" s="60"/>
      <c r="T425" s="60"/>
      <c r="U425" s="60"/>
      <c r="V425" s="60"/>
      <c r="W425" s="60"/>
    </row>
    <row r="426" spans="7:23" x14ac:dyDescent="0.25">
      <c r="G426" s="60"/>
      <c r="H426" s="60"/>
      <c r="I426" s="60"/>
      <c r="J426" s="60"/>
      <c r="K426" s="60"/>
      <c r="L426" s="60"/>
      <c r="M426" s="60"/>
      <c r="N426" s="60"/>
      <c r="O426" s="60"/>
      <c r="P426" s="60"/>
      <c r="Q426" s="60"/>
      <c r="R426" s="60"/>
      <c r="S426" s="60"/>
      <c r="T426" s="60"/>
      <c r="U426" s="60"/>
      <c r="V426" s="60"/>
      <c r="W426" s="60"/>
    </row>
    <row r="427" spans="7:23" x14ac:dyDescent="0.25">
      <c r="G427" s="60"/>
      <c r="H427" s="60"/>
      <c r="I427" s="60"/>
      <c r="J427" s="60"/>
      <c r="K427" s="60"/>
      <c r="L427" s="60"/>
      <c r="M427" s="60"/>
      <c r="N427" s="60"/>
      <c r="O427" s="60"/>
      <c r="P427" s="60"/>
      <c r="Q427" s="60"/>
      <c r="R427" s="60"/>
      <c r="S427" s="60"/>
      <c r="T427" s="60"/>
      <c r="U427" s="60"/>
      <c r="V427" s="60"/>
      <c r="W427" s="60"/>
    </row>
    <row r="428" spans="7:23" x14ac:dyDescent="0.25">
      <c r="G428" s="60"/>
      <c r="H428" s="60"/>
      <c r="I428" s="60"/>
      <c r="J428" s="60"/>
      <c r="K428" s="60"/>
      <c r="L428" s="60"/>
      <c r="M428" s="60"/>
      <c r="N428" s="60"/>
      <c r="O428" s="60"/>
      <c r="P428" s="60"/>
      <c r="Q428" s="60"/>
      <c r="R428" s="60"/>
      <c r="S428" s="60"/>
      <c r="T428" s="60"/>
      <c r="U428" s="60"/>
      <c r="V428" s="60"/>
      <c r="W428" s="60"/>
    </row>
    <row r="429" spans="7:23" x14ac:dyDescent="0.25">
      <c r="G429" s="60"/>
      <c r="H429" s="60"/>
      <c r="I429" s="60"/>
      <c r="J429" s="60"/>
      <c r="K429" s="60"/>
      <c r="L429" s="60"/>
      <c r="M429" s="60"/>
      <c r="N429" s="60"/>
      <c r="O429" s="60"/>
      <c r="P429" s="60"/>
      <c r="Q429" s="60"/>
      <c r="R429" s="60"/>
      <c r="S429" s="60"/>
      <c r="T429" s="60"/>
      <c r="U429" s="60"/>
      <c r="V429" s="60"/>
      <c r="W429" s="60"/>
    </row>
    <row r="430" spans="7:23" x14ac:dyDescent="0.25">
      <c r="G430" s="60"/>
      <c r="H430" s="60"/>
      <c r="I430" s="60"/>
      <c r="J430" s="60"/>
      <c r="K430" s="60"/>
      <c r="L430" s="60"/>
      <c r="M430" s="60"/>
      <c r="N430" s="60"/>
      <c r="O430" s="60"/>
      <c r="P430" s="60"/>
      <c r="Q430" s="60"/>
      <c r="R430" s="60"/>
      <c r="S430" s="60"/>
      <c r="T430" s="60"/>
      <c r="U430" s="60"/>
      <c r="V430" s="60"/>
      <c r="W430" s="60"/>
    </row>
    <row r="431" spans="7:23" x14ac:dyDescent="0.25">
      <c r="G431" s="60"/>
      <c r="H431" s="60"/>
      <c r="I431" s="60"/>
      <c r="J431" s="60"/>
      <c r="K431" s="60"/>
      <c r="L431" s="60"/>
      <c r="M431" s="60"/>
      <c r="N431" s="60"/>
      <c r="O431" s="60"/>
      <c r="P431" s="60"/>
      <c r="Q431" s="60"/>
      <c r="R431" s="60"/>
      <c r="S431" s="60"/>
      <c r="T431" s="60"/>
      <c r="U431" s="60"/>
      <c r="V431" s="60"/>
      <c r="W431" s="60"/>
    </row>
    <row r="432" spans="7:23" x14ac:dyDescent="0.25">
      <c r="G432" s="60"/>
      <c r="H432" s="60"/>
      <c r="I432" s="60"/>
      <c r="J432" s="60"/>
      <c r="K432" s="60"/>
      <c r="L432" s="60"/>
      <c r="M432" s="60"/>
      <c r="N432" s="60"/>
      <c r="O432" s="60"/>
      <c r="P432" s="60"/>
      <c r="Q432" s="60"/>
      <c r="R432" s="60"/>
      <c r="S432" s="60"/>
      <c r="T432" s="60"/>
      <c r="U432" s="60"/>
      <c r="V432" s="60"/>
      <c r="W432" s="60"/>
    </row>
    <row r="433" spans="7:23" x14ac:dyDescent="0.25">
      <c r="G433" s="60"/>
      <c r="H433" s="60"/>
      <c r="I433" s="60"/>
      <c r="J433" s="60"/>
      <c r="K433" s="60"/>
      <c r="L433" s="60"/>
      <c r="M433" s="60"/>
      <c r="N433" s="60"/>
      <c r="O433" s="60"/>
      <c r="P433" s="60"/>
      <c r="Q433" s="60"/>
      <c r="R433" s="60"/>
      <c r="S433" s="60"/>
      <c r="T433" s="60"/>
      <c r="U433" s="60"/>
      <c r="V433" s="60"/>
      <c r="W433" s="60"/>
    </row>
    <row r="434" spans="7:23" x14ac:dyDescent="0.25">
      <c r="G434" s="60"/>
      <c r="H434" s="60"/>
      <c r="I434" s="60"/>
      <c r="J434" s="60"/>
      <c r="K434" s="60"/>
      <c r="L434" s="60"/>
      <c r="M434" s="60"/>
      <c r="N434" s="60"/>
      <c r="O434" s="60"/>
      <c r="P434" s="60"/>
      <c r="Q434" s="60"/>
      <c r="R434" s="60"/>
      <c r="S434" s="60"/>
      <c r="T434" s="60"/>
      <c r="U434" s="60"/>
      <c r="V434" s="60"/>
      <c r="W434" s="60"/>
    </row>
    <row r="435" spans="7:23" x14ac:dyDescent="0.25">
      <c r="G435" s="60"/>
      <c r="H435" s="60"/>
      <c r="I435" s="60"/>
      <c r="J435" s="60"/>
      <c r="K435" s="60"/>
      <c r="L435" s="60"/>
      <c r="M435" s="60"/>
      <c r="N435" s="60"/>
      <c r="O435" s="60"/>
      <c r="P435" s="60"/>
      <c r="Q435" s="60"/>
      <c r="R435" s="60"/>
      <c r="S435" s="60"/>
      <c r="T435" s="60"/>
      <c r="U435" s="60"/>
      <c r="V435" s="60"/>
      <c r="W435" s="60"/>
    </row>
    <row r="436" spans="7:23" x14ac:dyDescent="0.25">
      <c r="G436" s="60"/>
      <c r="H436" s="60"/>
      <c r="I436" s="60"/>
      <c r="J436" s="60"/>
      <c r="K436" s="60"/>
      <c r="L436" s="60"/>
      <c r="M436" s="60"/>
      <c r="N436" s="60"/>
      <c r="O436" s="60"/>
      <c r="P436" s="60"/>
      <c r="Q436" s="60"/>
      <c r="R436" s="60"/>
      <c r="S436" s="60"/>
      <c r="T436" s="60"/>
      <c r="U436" s="60"/>
      <c r="V436" s="60"/>
      <c r="W436" s="60"/>
    </row>
    <row r="437" spans="7:23" x14ac:dyDescent="0.25">
      <c r="G437" s="60"/>
      <c r="H437" s="60"/>
      <c r="I437" s="60"/>
      <c r="J437" s="60"/>
      <c r="K437" s="60"/>
      <c r="L437" s="60"/>
      <c r="M437" s="60"/>
      <c r="N437" s="60"/>
      <c r="O437" s="60"/>
      <c r="P437" s="60"/>
      <c r="Q437" s="60"/>
      <c r="R437" s="60"/>
      <c r="S437" s="60"/>
      <c r="T437" s="60"/>
      <c r="U437" s="60"/>
      <c r="V437" s="60"/>
      <c r="W437" s="60"/>
    </row>
    <row r="438" spans="7:23" x14ac:dyDescent="0.25">
      <c r="G438" s="60"/>
      <c r="H438" s="60"/>
      <c r="I438" s="60"/>
      <c r="J438" s="60"/>
      <c r="K438" s="60"/>
      <c r="L438" s="60"/>
      <c r="M438" s="60"/>
      <c r="N438" s="60"/>
      <c r="O438" s="60"/>
      <c r="P438" s="60"/>
      <c r="Q438" s="60"/>
      <c r="R438" s="60"/>
      <c r="S438" s="60"/>
      <c r="T438" s="60"/>
      <c r="U438" s="60"/>
      <c r="V438" s="60"/>
      <c r="W438" s="60"/>
    </row>
    <row r="439" spans="7:23" x14ac:dyDescent="0.25">
      <c r="G439" s="60"/>
      <c r="H439" s="60"/>
      <c r="I439" s="60"/>
      <c r="J439" s="60"/>
      <c r="K439" s="60"/>
      <c r="L439" s="60"/>
      <c r="M439" s="60"/>
      <c r="N439" s="60"/>
      <c r="O439" s="60"/>
      <c r="P439" s="60"/>
      <c r="Q439" s="60"/>
      <c r="R439" s="60"/>
      <c r="S439" s="60"/>
      <c r="T439" s="60"/>
      <c r="U439" s="60"/>
      <c r="V439" s="60"/>
      <c r="W439" s="60"/>
    </row>
    <row r="440" spans="7:23" x14ac:dyDescent="0.25">
      <c r="G440" s="60"/>
      <c r="H440" s="60"/>
      <c r="I440" s="60"/>
      <c r="J440" s="60"/>
      <c r="K440" s="60"/>
      <c r="L440" s="60"/>
      <c r="M440" s="60"/>
      <c r="N440" s="60"/>
      <c r="O440" s="60"/>
      <c r="P440" s="60"/>
      <c r="Q440" s="60"/>
      <c r="R440" s="60"/>
      <c r="S440" s="60"/>
      <c r="T440" s="60"/>
      <c r="U440" s="60"/>
      <c r="V440" s="60"/>
      <c r="W440" s="60"/>
    </row>
    <row r="441" spans="7:23" x14ac:dyDescent="0.25">
      <c r="G441" s="60"/>
      <c r="H441" s="60"/>
      <c r="I441" s="60"/>
      <c r="J441" s="60"/>
      <c r="K441" s="60"/>
      <c r="L441" s="60"/>
      <c r="M441" s="60"/>
      <c r="N441" s="60"/>
      <c r="O441" s="60"/>
      <c r="P441" s="60"/>
      <c r="Q441" s="60"/>
      <c r="R441" s="60"/>
      <c r="S441" s="60"/>
      <c r="T441" s="60"/>
      <c r="U441" s="60"/>
      <c r="V441" s="60"/>
      <c r="W441" s="60"/>
    </row>
    <row r="442" spans="7:23" x14ac:dyDescent="0.25">
      <c r="G442" s="60"/>
      <c r="H442" s="60"/>
      <c r="I442" s="60"/>
      <c r="J442" s="60"/>
      <c r="K442" s="60"/>
      <c r="L442" s="60"/>
      <c r="M442" s="60"/>
      <c r="N442" s="60"/>
      <c r="O442" s="60"/>
      <c r="P442" s="60"/>
      <c r="Q442" s="60"/>
      <c r="R442" s="60"/>
      <c r="S442" s="60"/>
      <c r="T442" s="60"/>
      <c r="U442" s="60"/>
      <c r="V442" s="60"/>
      <c r="W442" s="60"/>
    </row>
    <row r="443" spans="7:23" x14ac:dyDescent="0.25">
      <c r="G443" s="60"/>
      <c r="H443" s="60"/>
      <c r="I443" s="60"/>
      <c r="J443" s="60"/>
      <c r="K443" s="60"/>
      <c r="L443" s="60"/>
      <c r="M443" s="60"/>
      <c r="N443" s="60"/>
      <c r="O443" s="60"/>
      <c r="P443" s="60"/>
      <c r="Q443" s="60"/>
      <c r="R443" s="60"/>
      <c r="S443" s="60"/>
      <c r="T443" s="60"/>
      <c r="U443" s="60"/>
      <c r="V443" s="60"/>
      <c r="W443" s="60"/>
    </row>
    <row r="444" spans="7:23" x14ac:dyDescent="0.25">
      <c r="G444" s="60"/>
      <c r="H444" s="60"/>
      <c r="I444" s="60"/>
      <c r="J444" s="60"/>
      <c r="K444" s="60"/>
      <c r="L444" s="60"/>
      <c r="M444" s="60"/>
      <c r="N444" s="60"/>
      <c r="O444" s="60"/>
      <c r="P444" s="60"/>
      <c r="Q444" s="60"/>
      <c r="R444" s="60"/>
      <c r="S444" s="60"/>
      <c r="T444" s="60"/>
      <c r="U444" s="60"/>
      <c r="V444" s="60"/>
      <c r="W444" s="60"/>
    </row>
    <row r="445" spans="7:23" x14ac:dyDescent="0.25">
      <c r="G445" s="60"/>
      <c r="H445" s="60"/>
      <c r="I445" s="60"/>
      <c r="J445" s="60"/>
      <c r="K445" s="60"/>
      <c r="L445" s="60"/>
      <c r="M445" s="60"/>
      <c r="N445" s="60"/>
      <c r="O445" s="60"/>
      <c r="P445" s="60"/>
      <c r="Q445" s="60"/>
      <c r="R445" s="60"/>
      <c r="S445" s="60"/>
      <c r="T445" s="60"/>
      <c r="U445" s="60"/>
      <c r="V445" s="60"/>
      <c r="W445" s="60"/>
    </row>
    <row r="446" spans="7:23" x14ac:dyDescent="0.25">
      <c r="G446" s="60"/>
      <c r="H446" s="60"/>
      <c r="I446" s="60"/>
      <c r="J446" s="60"/>
      <c r="K446" s="60"/>
      <c r="L446" s="60"/>
      <c r="M446" s="60"/>
      <c r="N446" s="60"/>
      <c r="O446" s="60"/>
      <c r="P446" s="60"/>
      <c r="Q446" s="60"/>
      <c r="R446" s="60"/>
      <c r="S446" s="60"/>
      <c r="T446" s="60"/>
      <c r="U446" s="60"/>
      <c r="V446" s="60"/>
      <c r="W446" s="60"/>
    </row>
    <row r="447" spans="7:23" x14ac:dyDescent="0.25">
      <c r="G447" s="60"/>
      <c r="H447" s="60"/>
      <c r="I447" s="60"/>
      <c r="J447" s="60"/>
      <c r="K447" s="60"/>
      <c r="L447" s="60"/>
      <c r="M447" s="60"/>
      <c r="N447" s="60"/>
      <c r="O447" s="60"/>
      <c r="P447" s="60"/>
      <c r="Q447" s="60"/>
      <c r="R447" s="60"/>
      <c r="S447" s="60"/>
      <c r="T447" s="60"/>
      <c r="U447" s="60"/>
      <c r="V447" s="60"/>
      <c r="W447" s="60"/>
    </row>
    <row r="448" spans="7:23" x14ac:dyDescent="0.25">
      <c r="G448" s="60"/>
      <c r="H448" s="60"/>
      <c r="I448" s="60"/>
      <c r="J448" s="60"/>
      <c r="K448" s="60"/>
      <c r="L448" s="60"/>
      <c r="M448" s="60"/>
      <c r="N448" s="60"/>
      <c r="O448" s="60"/>
      <c r="P448" s="60"/>
      <c r="Q448" s="60"/>
      <c r="R448" s="60"/>
      <c r="S448" s="60"/>
      <c r="T448" s="60"/>
      <c r="U448" s="60"/>
      <c r="V448" s="60"/>
      <c r="W448" s="60"/>
    </row>
    <row r="449" spans="7:23" x14ac:dyDescent="0.25">
      <c r="G449" s="60"/>
      <c r="H449" s="60"/>
      <c r="I449" s="60"/>
      <c r="J449" s="60"/>
      <c r="K449" s="60"/>
      <c r="L449" s="60"/>
      <c r="M449" s="60"/>
      <c r="N449" s="60"/>
      <c r="O449" s="60"/>
      <c r="P449" s="60"/>
      <c r="Q449" s="60"/>
      <c r="R449" s="60"/>
      <c r="S449" s="60"/>
      <c r="T449" s="60"/>
      <c r="U449" s="60"/>
      <c r="V449" s="60"/>
      <c r="W449" s="60"/>
    </row>
    <row r="450" spans="7:23" x14ac:dyDescent="0.25">
      <c r="G450" s="60"/>
      <c r="H450" s="60"/>
      <c r="I450" s="60"/>
      <c r="J450" s="60"/>
      <c r="K450" s="60"/>
      <c r="L450" s="60"/>
      <c r="M450" s="60"/>
      <c r="N450" s="60"/>
      <c r="O450" s="60"/>
      <c r="P450" s="60"/>
      <c r="Q450" s="60"/>
      <c r="R450" s="60"/>
      <c r="S450" s="60"/>
      <c r="T450" s="60"/>
      <c r="U450" s="60"/>
      <c r="V450" s="60"/>
      <c r="W450" s="60"/>
    </row>
    <row r="451" spans="7:23" x14ac:dyDescent="0.25">
      <c r="G451" s="60"/>
      <c r="H451" s="60"/>
      <c r="I451" s="60"/>
      <c r="J451" s="60"/>
      <c r="K451" s="60"/>
      <c r="L451" s="60"/>
      <c r="M451" s="60"/>
      <c r="N451" s="60"/>
      <c r="O451" s="60"/>
      <c r="P451" s="60"/>
      <c r="Q451" s="60"/>
      <c r="R451" s="60"/>
      <c r="S451" s="60"/>
      <c r="T451" s="60"/>
      <c r="U451" s="60"/>
      <c r="V451" s="60"/>
      <c r="W451" s="60"/>
    </row>
    <row r="452" spans="7:23" x14ac:dyDescent="0.25">
      <c r="G452" s="60"/>
      <c r="H452" s="60"/>
      <c r="I452" s="60"/>
      <c r="J452" s="60"/>
      <c r="K452" s="60"/>
      <c r="L452" s="60"/>
      <c r="M452" s="60"/>
      <c r="N452" s="60"/>
      <c r="O452" s="60"/>
      <c r="P452" s="60"/>
      <c r="Q452" s="60"/>
      <c r="R452" s="60"/>
      <c r="S452" s="60"/>
      <c r="T452" s="60"/>
      <c r="U452" s="60"/>
      <c r="V452" s="60"/>
      <c r="W452" s="60"/>
    </row>
    <row r="453" spans="7:23" x14ac:dyDescent="0.25">
      <c r="G453" s="60"/>
      <c r="H453" s="60"/>
      <c r="I453" s="60"/>
      <c r="J453" s="60"/>
      <c r="K453" s="60"/>
      <c r="L453" s="60"/>
      <c r="M453" s="60"/>
      <c r="N453" s="60"/>
      <c r="O453" s="60"/>
      <c r="P453" s="60"/>
      <c r="Q453" s="60"/>
      <c r="R453" s="60"/>
      <c r="S453" s="60"/>
      <c r="T453" s="60"/>
      <c r="U453" s="60"/>
      <c r="V453" s="60"/>
      <c r="W453" s="60"/>
    </row>
    <row r="454" spans="7:23" x14ac:dyDescent="0.25">
      <c r="G454" s="60"/>
      <c r="H454" s="60"/>
      <c r="I454" s="60"/>
      <c r="J454" s="60"/>
      <c r="K454" s="60"/>
      <c r="L454" s="60"/>
      <c r="M454" s="60"/>
      <c r="N454" s="60"/>
      <c r="O454" s="60"/>
      <c r="P454" s="60"/>
      <c r="Q454" s="60"/>
      <c r="R454" s="60"/>
      <c r="S454" s="60"/>
      <c r="T454" s="60"/>
      <c r="U454" s="60"/>
      <c r="V454" s="60"/>
      <c r="W454" s="60"/>
    </row>
    <row r="455" spans="7:23" x14ac:dyDescent="0.25">
      <c r="G455" s="60"/>
      <c r="H455" s="60"/>
      <c r="I455" s="60"/>
      <c r="J455" s="60"/>
      <c r="K455" s="60"/>
      <c r="L455" s="60"/>
      <c r="M455" s="60"/>
      <c r="N455" s="60"/>
      <c r="O455" s="60"/>
      <c r="P455" s="60"/>
      <c r="Q455" s="60"/>
      <c r="R455" s="60"/>
      <c r="S455" s="60"/>
      <c r="T455" s="60"/>
      <c r="U455" s="60"/>
      <c r="V455" s="60"/>
      <c r="W455" s="60"/>
    </row>
    <row r="456" spans="7:23" x14ac:dyDescent="0.25">
      <c r="G456" s="60"/>
      <c r="H456" s="60"/>
      <c r="I456" s="60"/>
      <c r="J456" s="60"/>
      <c r="K456" s="60"/>
      <c r="L456" s="60"/>
      <c r="M456" s="60"/>
      <c r="N456" s="60"/>
      <c r="O456" s="60"/>
      <c r="P456" s="60"/>
      <c r="Q456" s="60"/>
      <c r="R456" s="60"/>
      <c r="S456" s="60"/>
      <c r="T456" s="60"/>
      <c r="U456" s="60"/>
      <c r="V456" s="60"/>
      <c r="W456" s="60"/>
    </row>
    <row r="457" spans="7:23" x14ac:dyDescent="0.25">
      <c r="G457" s="60"/>
      <c r="H457" s="60"/>
      <c r="I457" s="60"/>
      <c r="J457" s="60"/>
      <c r="K457" s="60"/>
      <c r="L457" s="60"/>
      <c r="M457" s="60"/>
      <c r="N457" s="60"/>
      <c r="O457" s="60"/>
      <c r="P457" s="60"/>
      <c r="Q457" s="60"/>
      <c r="R457" s="60"/>
      <c r="S457" s="60"/>
      <c r="T457" s="60"/>
      <c r="U457" s="60"/>
      <c r="V457" s="60"/>
      <c r="W457" s="60"/>
    </row>
    <row r="458" spans="7:23" x14ac:dyDescent="0.25">
      <c r="G458" s="60"/>
      <c r="H458" s="60"/>
      <c r="I458" s="60"/>
      <c r="J458" s="60"/>
      <c r="K458" s="60"/>
      <c r="L458" s="60"/>
      <c r="M458" s="60"/>
      <c r="N458" s="60"/>
      <c r="O458" s="60"/>
      <c r="P458" s="60"/>
      <c r="Q458" s="60"/>
      <c r="R458" s="60"/>
      <c r="S458" s="60"/>
      <c r="T458" s="60"/>
      <c r="U458" s="60"/>
      <c r="V458" s="60"/>
      <c r="W458" s="60"/>
    </row>
    <row r="459" spans="7:23" x14ac:dyDescent="0.25">
      <c r="G459" s="60"/>
      <c r="H459" s="60"/>
      <c r="I459" s="60"/>
      <c r="J459" s="60"/>
      <c r="K459" s="60"/>
      <c r="L459" s="60"/>
      <c r="M459" s="60"/>
      <c r="N459" s="60"/>
      <c r="O459" s="60"/>
      <c r="P459" s="60"/>
      <c r="Q459" s="60"/>
      <c r="R459" s="60"/>
      <c r="S459" s="60"/>
      <c r="T459" s="60"/>
      <c r="U459" s="60"/>
      <c r="V459" s="60"/>
      <c r="W459" s="60"/>
    </row>
    <row r="460" spans="7:23" x14ac:dyDescent="0.25">
      <c r="G460" s="60"/>
      <c r="H460" s="60"/>
      <c r="I460" s="60"/>
      <c r="J460" s="60"/>
      <c r="K460" s="60"/>
      <c r="L460" s="60"/>
      <c r="M460" s="60"/>
      <c r="N460" s="60"/>
      <c r="O460" s="60"/>
      <c r="P460" s="60"/>
      <c r="Q460" s="60"/>
      <c r="R460" s="60"/>
      <c r="S460" s="60"/>
      <c r="T460" s="60"/>
      <c r="U460" s="60"/>
      <c r="V460" s="60"/>
      <c r="W460" s="60"/>
    </row>
    <row r="461" spans="7:23" x14ac:dyDescent="0.25">
      <c r="G461" s="60"/>
      <c r="H461" s="60"/>
      <c r="I461" s="60"/>
      <c r="J461" s="60"/>
      <c r="K461" s="60"/>
      <c r="L461" s="60"/>
      <c r="M461" s="60"/>
      <c r="N461" s="60"/>
      <c r="O461" s="60"/>
      <c r="P461" s="60"/>
      <c r="Q461" s="60"/>
      <c r="R461" s="60"/>
      <c r="S461" s="60"/>
      <c r="T461" s="60"/>
      <c r="U461" s="60"/>
      <c r="V461" s="60"/>
      <c r="W461" s="60"/>
    </row>
    <row r="462" spans="7:23" x14ac:dyDescent="0.25">
      <c r="G462" s="60"/>
      <c r="H462" s="60"/>
      <c r="I462" s="60"/>
      <c r="J462" s="60"/>
      <c r="K462" s="60"/>
      <c r="L462" s="60"/>
      <c r="M462" s="60"/>
      <c r="N462" s="60"/>
      <c r="O462" s="60"/>
      <c r="P462" s="60"/>
      <c r="Q462" s="60"/>
      <c r="R462" s="60"/>
      <c r="S462" s="60"/>
      <c r="T462" s="60"/>
      <c r="U462" s="60"/>
      <c r="V462" s="60"/>
      <c r="W462" s="60"/>
    </row>
    <row r="463" spans="7:23" x14ac:dyDescent="0.25">
      <c r="G463" s="60"/>
      <c r="H463" s="60"/>
      <c r="I463" s="60"/>
      <c r="J463" s="60"/>
      <c r="K463" s="60"/>
      <c r="L463" s="60"/>
      <c r="M463" s="60"/>
      <c r="N463" s="60"/>
      <c r="O463" s="60"/>
      <c r="P463" s="60"/>
      <c r="Q463" s="60"/>
      <c r="R463" s="60"/>
      <c r="S463" s="60"/>
      <c r="T463" s="60"/>
      <c r="U463" s="60"/>
      <c r="V463" s="60"/>
      <c r="W463" s="60"/>
    </row>
    <row r="464" spans="7:23" x14ac:dyDescent="0.25">
      <c r="G464" s="60"/>
      <c r="H464" s="60"/>
      <c r="I464" s="60"/>
      <c r="J464" s="60"/>
      <c r="K464" s="60"/>
      <c r="L464" s="60"/>
      <c r="M464" s="60"/>
      <c r="N464" s="60"/>
      <c r="O464" s="60"/>
      <c r="P464" s="60"/>
      <c r="Q464" s="60"/>
      <c r="R464" s="60"/>
      <c r="S464" s="60"/>
      <c r="T464" s="60"/>
      <c r="U464" s="60"/>
      <c r="V464" s="60"/>
      <c r="W464" s="60"/>
    </row>
    <row r="465" spans="7:23" x14ac:dyDescent="0.25">
      <c r="G465" s="60"/>
      <c r="H465" s="60"/>
      <c r="I465" s="60"/>
      <c r="J465" s="60"/>
      <c r="K465" s="60"/>
      <c r="L465" s="60"/>
      <c r="M465" s="60"/>
      <c r="N465" s="60"/>
      <c r="O465" s="60"/>
      <c r="P465" s="60"/>
      <c r="Q465" s="60"/>
      <c r="R465" s="60"/>
      <c r="S465" s="60"/>
      <c r="T465" s="60"/>
      <c r="U465" s="60"/>
      <c r="V465" s="60"/>
      <c r="W465" s="60"/>
    </row>
    <row r="466" spans="7:23" x14ac:dyDescent="0.25">
      <c r="G466" s="60"/>
      <c r="H466" s="60"/>
      <c r="I466" s="60"/>
      <c r="J466" s="60"/>
      <c r="K466" s="60"/>
      <c r="L466" s="60"/>
      <c r="M466" s="60"/>
      <c r="N466" s="60"/>
      <c r="O466" s="60"/>
      <c r="P466" s="60"/>
      <c r="Q466" s="60"/>
      <c r="R466" s="60"/>
      <c r="S466" s="60"/>
      <c r="T466" s="60"/>
      <c r="U466" s="60"/>
      <c r="V466" s="60"/>
      <c r="W466" s="60"/>
    </row>
    <row r="467" spans="7:23" x14ac:dyDescent="0.25">
      <c r="G467" s="60"/>
      <c r="H467" s="60"/>
      <c r="I467" s="60"/>
      <c r="J467" s="60"/>
      <c r="K467" s="60"/>
      <c r="L467" s="60"/>
      <c r="M467" s="60"/>
      <c r="N467" s="60"/>
      <c r="O467" s="60"/>
      <c r="P467" s="60"/>
      <c r="Q467" s="60"/>
      <c r="R467" s="60"/>
      <c r="S467" s="60"/>
      <c r="T467" s="60"/>
      <c r="U467" s="60"/>
      <c r="V467" s="60"/>
      <c r="W467" s="60"/>
    </row>
    <row r="468" spans="7:23" x14ac:dyDescent="0.25">
      <c r="G468" s="60"/>
      <c r="H468" s="60"/>
      <c r="I468" s="60"/>
      <c r="J468" s="60"/>
      <c r="K468" s="60"/>
      <c r="L468" s="60"/>
      <c r="M468" s="60"/>
      <c r="N468" s="60"/>
      <c r="O468" s="60"/>
      <c r="P468" s="60"/>
      <c r="Q468" s="60"/>
      <c r="R468" s="60"/>
      <c r="S468" s="60"/>
      <c r="T468" s="60"/>
      <c r="U468" s="60"/>
      <c r="V468" s="60"/>
      <c r="W468" s="60"/>
    </row>
    <row r="469" spans="7:23" x14ac:dyDescent="0.25">
      <c r="G469" s="60"/>
      <c r="H469" s="60"/>
      <c r="I469" s="60"/>
      <c r="J469" s="60"/>
      <c r="K469" s="60"/>
      <c r="L469" s="60"/>
      <c r="M469" s="60"/>
      <c r="N469" s="60"/>
      <c r="O469" s="60"/>
      <c r="P469" s="60"/>
      <c r="Q469" s="60"/>
      <c r="R469" s="60"/>
      <c r="S469" s="60"/>
      <c r="T469" s="60"/>
      <c r="U469" s="60"/>
      <c r="V469" s="60"/>
      <c r="W469" s="60"/>
    </row>
    <row r="470" spans="7:23" x14ac:dyDescent="0.25">
      <c r="G470" s="60"/>
      <c r="H470" s="60"/>
      <c r="I470" s="60"/>
      <c r="J470" s="60"/>
      <c r="K470" s="60"/>
      <c r="L470" s="60"/>
      <c r="M470" s="60"/>
      <c r="N470" s="60"/>
      <c r="O470" s="60"/>
      <c r="P470" s="60"/>
      <c r="Q470" s="60"/>
      <c r="R470" s="60"/>
      <c r="S470" s="60"/>
      <c r="T470" s="60"/>
      <c r="U470" s="60"/>
      <c r="V470" s="60"/>
      <c r="W470" s="60"/>
    </row>
    <row r="471" spans="7:23" x14ac:dyDescent="0.25">
      <c r="G471" s="60"/>
      <c r="H471" s="60"/>
      <c r="I471" s="60"/>
      <c r="J471" s="60"/>
      <c r="K471" s="60"/>
      <c r="L471" s="60"/>
      <c r="M471" s="60"/>
      <c r="N471" s="60"/>
      <c r="O471" s="60"/>
      <c r="P471" s="60"/>
      <c r="Q471" s="60"/>
      <c r="R471" s="60"/>
      <c r="S471" s="60"/>
      <c r="T471" s="60"/>
      <c r="U471" s="60"/>
      <c r="V471" s="60"/>
      <c r="W471" s="60"/>
    </row>
    <row r="472" spans="7:23" x14ac:dyDescent="0.25">
      <c r="G472" s="60"/>
      <c r="H472" s="60"/>
      <c r="I472" s="60"/>
      <c r="J472" s="60"/>
      <c r="K472" s="60"/>
      <c r="L472" s="60"/>
      <c r="M472" s="60"/>
      <c r="N472" s="60"/>
      <c r="O472" s="60"/>
      <c r="P472" s="60"/>
      <c r="Q472" s="60"/>
      <c r="R472" s="60"/>
      <c r="S472" s="60"/>
      <c r="T472" s="60"/>
      <c r="U472" s="60"/>
      <c r="V472" s="60"/>
      <c r="W472" s="60"/>
    </row>
    <row r="473" spans="7:23" x14ac:dyDescent="0.25">
      <c r="G473" s="60"/>
      <c r="H473" s="60"/>
      <c r="I473" s="60"/>
      <c r="J473" s="60"/>
      <c r="K473" s="60"/>
      <c r="L473" s="60"/>
      <c r="M473" s="60"/>
      <c r="N473" s="60"/>
      <c r="O473" s="60"/>
      <c r="P473" s="60"/>
      <c r="Q473" s="60"/>
      <c r="R473" s="60"/>
      <c r="S473" s="60"/>
      <c r="T473" s="60"/>
      <c r="U473" s="60"/>
      <c r="V473" s="60"/>
      <c r="W473" s="60"/>
    </row>
    <row r="474" spans="7:23" x14ac:dyDescent="0.25">
      <c r="G474" s="60"/>
      <c r="H474" s="60"/>
      <c r="I474" s="60"/>
      <c r="J474" s="60"/>
      <c r="K474" s="60"/>
      <c r="L474" s="60"/>
      <c r="M474" s="60"/>
      <c r="N474" s="60"/>
      <c r="O474" s="60"/>
      <c r="P474" s="60"/>
      <c r="Q474" s="60"/>
      <c r="R474" s="60"/>
      <c r="S474" s="60"/>
      <c r="T474" s="60"/>
      <c r="U474" s="60"/>
      <c r="V474" s="60"/>
      <c r="W474" s="60"/>
    </row>
    <row r="475" spans="7:23" x14ac:dyDescent="0.25">
      <c r="G475" s="60"/>
      <c r="H475" s="60"/>
      <c r="I475" s="60"/>
      <c r="J475" s="60"/>
      <c r="K475" s="60"/>
      <c r="L475" s="60"/>
      <c r="M475" s="60"/>
      <c r="N475" s="60"/>
      <c r="O475" s="60"/>
      <c r="P475" s="60"/>
      <c r="Q475" s="60"/>
      <c r="R475" s="60"/>
      <c r="S475" s="60"/>
      <c r="T475" s="60"/>
      <c r="U475" s="60"/>
      <c r="V475" s="60"/>
      <c r="W475" s="60"/>
    </row>
    <row r="476" spans="7:23" x14ac:dyDescent="0.25">
      <c r="G476" s="60"/>
      <c r="H476" s="60"/>
      <c r="I476" s="60"/>
      <c r="J476" s="60"/>
      <c r="K476" s="60"/>
      <c r="L476" s="60"/>
      <c r="M476" s="60"/>
      <c r="N476" s="60"/>
      <c r="O476" s="60"/>
      <c r="P476" s="60"/>
      <c r="Q476" s="60"/>
      <c r="R476" s="60"/>
      <c r="S476" s="60"/>
      <c r="T476" s="60"/>
      <c r="U476" s="60"/>
      <c r="V476" s="60"/>
      <c r="W476" s="60"/>
    </row>
    <row r="477" spans="7:23" x14ac:dyDescent="0.25">
      <c r="G477" s="60"/>
      <c r="H477" s="60"/>
      <c r="I477" s="60"/>
      <c r="J477" s="60"/>
      <c r="K477" s="60"/>
      <c r="L477" s="60"/>
      <c r="M477" s="60"/>
      <c r="N477" s="60"/>
      <c r="O477" s="60"/>
      <c r="P477" s="60"/>
      <c r="Q477" s="60"/>
      <c r="R477" s="60"/>
      <c r="S477" s="60"/>
      <c r="T477" s="60"/>
      <c r="U477" s="60"/>
      <c r="V477" s="60"/>
      <c r="W477" s="60"/>
    </row>
    <row r="478" spans="7:23" x14ac:dyDescent="0.25">
      <c r="G478" s="60"/>
      <c r="H478" s="60"/>
      <c r="I478" s="60"/>
      <c r="J478" s="60"/>
      <c r="K478" s="60"/>
      <c r="L478" s="60"/>
      <c r="M478" s="60"/>
      <c r="N478" s="60"/>
      <c r="O478" s="60"/>
      <c r="P478" s="60"/>
      <c r="Q478" s="60"/>
      <c r="R478" s="60"/>
      <c r="S478" s="60"/>
      <c r="T478" s="60"/>
      <c r="U478" s="60"/>
      <c r="V478" s="60"/>
      <c r="W478" s="60"/>
    </row>
    <row r="479" spans="7:23" x14ac:dyDescent="0.25">
      <c r="G479" s="60"/>
      <c r="H479" s="60"/>
      <c r="I479" s="60"/>
      <c r="J479" s="60"/>
      <c r="K479" s="60"/>
      <c r="L479" s="60"/>
      <c r="M479" s="60"/>
      <c r="N479" s="60"/>
      <c r="O479" s="60"/>
      <c r="P479" s="60"/>
      <c r="Q479" s="60"/>
      <c r="R479" s="60"/>
      <c r="S479" s="60"/>
      <c r="T479" s="60"/>
      <c r="U479" s="60"/>
      <c r="V479" s="60"/>
      <c r="W479" s="60"/>
    </row>
    <row r="480" spans="7:23" x14ac:dyDescent="0.25">
      <c r="G480" s="60"/>
      <c r="H480" s="60"/>
      <c r="I480" s="60"/>
      <c r="J480" s="60"/>
      <c r="K480" s="60"/>
      <c r="L480" s="60"/>
      <c r="M480" s="60"/>
      <c r="N480" s="60"/>
      <c r="O480" s="60"/>
      <c r="P480" s="60"/>
      <c r="Q480" s="60"/>
      <c r="R480" s="60"/>
      <c r="S480" s="60"/>
      <c r="T480" s="60"/>
      <c r="U480" s="60"/>
      <c r="V480" s="60"/>
      <c r="W480" s="60"/>
    </row>
    <row r="481" spans="7:23" x14ac:dyDescent="0.25">
      <c r="G481" s="60"/>
      <c r="H481" s="60"/>
      <c r="I481" s="60"/>
      <c r="J481" s="60"/>
      <c r="K481" s="60"/>
      <c r="L481" s="60"/>
      <c r="M481" s="60"/>
      <c r="N481" s="60"/>
      <c r="O481" s="60"/>
      <c r="P481" s="60"/>
      <c r="Q481" s="60"/>
      <c r="R481" s="60"/>
      <c r="S481" s="60"/>
      <c r="T481" s="60"/>
      <c r="U481" s="60"/>
      <c r="V481" s="60"/>
      <c r="W481" s="60"/>
    </row>
    <row r="482" spans="7:23" x14ac:dyDescent="0.25">
      <c r="G482" s="60"/>
      <c r="H482" s="60"/>
      <c r="I482" s="60"/>
      <c r="J482" s="60"/>
      <c r="K482" s="60"/>
      <c r="L482" s="60"/>
      <c r="M482" s="60"/>
      <c r="N482" s="60"/>
      <c r="O482" s="60"/>
      <c r="P482" s="60"/>
      <c r="Q482" s="60"/>
      <c r="R482" s="60"/>
      <c r="S482" s="60"/>
      <c r="T482" s="60"/>
      <c r="U482" s="60"/>
      <c r="V482" s="60"/>
      <c r="W482" s="60"/>
    </row>
    <row r="483" spans="7:23" x14ac:dyDescent="0.25">
      <c r="G483" s="60"/>
      <c r="H483" s="60"/>
      <c r="I483" s="60"/>
      <c r="J483" s="60"/>
      <c r="K483" s="60"/>
      <c r="L483" s="60"/>
      <c r="M483" s="60"/>
      <c r="N483" s="60"/>
      <c r="O483" s="60"/>
      <c r="P483" s="60"/>
      <c r="Q483" s="60"/>
      <c r="R483" s="60"/>
      <c r="S483" s="60"/>
      <c r="T483" s="60"/>
      <c r="U483" s="60"/>
      <c r="V483" s="60"/>
      <c r="W483" s="60"/>
    </row>
    <row r="484" spans="7:23" x14ac:dyDescent="0.25">
      <c r="G484" s="60"/>
      <c r="H484" s="60"/>
      <c r="I484" s="60"/>
      <c r="J484" s="60"/>
      <c r="K484" s="60"/>
      <c r="L484" s="60"/>
      <c r="M484" s="60"/>
      <c r="N484" s="60"/>
      <c r="O484" s="60"/>
      <c r="P484" s="60"/>
      <c r="Q484" s="60"/>
      <c r="R484" s="60"/>
      <c r="S484" s="60"/>
      <c r="T484" s="60"/>
      <c r="U484" s="60"/>
      <c r="V484" s="60"/>
      <c r="W484" s="60"/>
    </row>
    <row r="485" spans="7:23" x14ac:dyDescent="0.25">
      <c r="G485" s="60"/>
      <c r="H485" s="60"/>
      <c r="I485" s="60"/>
      <c r="J485" s="60"/>
      <c r="K485" s="60"/>
      <c r="L485" s="60"/>
      <c r="M485" s="60"/>
      <c r="N485" s="60"/>
      <c r="O485" s="60"/>
      <c r="P485" s="60"/>
      <c r="Q485" s="60"/>
      <c r="R485" s="60"/>
      <c r="S485" s="60"/>
      <c r="T485" s="60"/>
      <c r="U485" s="60"/>
      <c r="V485" s="60"/>
      <c r="W485" s="60"/>
    </row>
    <row r="486" spans="7:23" x14ac:dyDescent="0.25">
      <c r="G486" s="60"/>
      <c r="H486" s="60"/>
      <c r="I486" s="60"/>
      <c r="J486" s="60"/>
      <c r="K486" s="60"/>
      <c r="L486" s="60"/>
      <c r="M486" s="60"/>
      <c r="N486" s="60"/>
      <c r="O486" s="60"/>
      <c r="P486" s="60"/>
      <c r="Q486" s="60"/>
      <c r="R486" s="60"/>
      <c r="S486" s="60"/>
      <c r="T486" s="60"/>
      <c r="U486" s="60"/>
      <c r="V486" s="60"/>
      <c r="W486" s="60"/>
    </row>
    <row r="487" spans="7:23" x14ac:dyDescent="0.25">
      <c r="G487" s="60"/>
      <c r="H487" s="60"/>
      <c r="I487" s="60"/>
      <c r="J487" s="60"/>
      <c r="K487" s="60"/>
      <c r="L487" s="60"/>
      <c r="M487" s="60"/>
      <c r="N487" s="60"/>
      <c r="O487" s="60"/>
      <c r="P487" s="60"/>
      <c r="Q487" s="60"/>
      <c r="R487" s="60"/>
      <c r="S487" s="60"/>
      <c r="T487" s="60"/>
      <c r="U487" s="60"/>
      <c r="V487" s="60"/>
      <c r="W487" s="60"/>
    </row>
    <row r="488" spans="7:23" x14ac:dyDescent="0.25">
      <c r="G488" s="60"/>
      <c r="H488" s="60"/>
      <c r="I488" s="60"/>
      <c r="J488" s="60"/>
      <c r="K488" s="60"/>
      <c r="L488" s="60"/>
      <c r="M488" s="60"/>
      <c r="N488" s="60"/>
      <c r="O488" s="60"/>
      <c r="P488" s="60"/>
      <c r="Q488" s="60"/>
      <c r="R488" s="60"/>
      <c r="S488" s="60"/>
      <c r="T488" s="60"/>
      <c r="U488" s="60"/>
      <c r="V488" s="60"/>
      <c r="W488" s="60"/>
    </row>
    <row r="489" spans="7:23" x14ac:dyDescent="0.25">
      <c r="G489" s="60"/>
      <c r="H489" s="60"/>
      <c r="I489" s="60"/>
      <c r="J489" s="60"/>
      <c r="K489" s="60"/>
      <c r="L489" s="60"/>
      <c r="M489" s="60"/>
      <c r="N489" s="60"/>
      <c r="O489" s="60"/>
      <c r="P489" s="60"/>
      <c r="Q489" s="60"/>
      <c r="R489" s="60"/>
      <c r="S489" s="60"/>
      <c r="T489" s="60"/>
      <c r="U489" s="60"/>
      <c r="V489" s="60"/>
      <c r="W489" s="60"/>
    </row>
    <row r="490" spans="7:23" x14ac:dyDescent="0.25">
      <c r="G490" s="60"/>
      <c r="H490" s="60"/>
      <c r="I490" s="60"/>
      <c r="J490" s="60"/>
      <c r="K490" s="60"/>
      <c r="L490" s="60"/>
      <c r="M490" s="60"/>
      <c r="N490" s="60"/>
      <c r="O490" s="60"/>
      <c r="P490" s="60"/>
      <c r="Q490" s="60"/>
      <c r="R490" s="60"/>
      <c r="S490" s="60"/>
      <c r="T490" s="60"/>
      <c r="U490" s="60"/>
      <c r="V490" s="60"/>
      <c r="W490" s="60"/>
    </row>
    <row r="491" spans="7:23" x14ac:dyDescent="0.25">
      <c r="G491" s="60"/>
      <c r="H491" s="60"/>
      <c r="I491" s="60"/>
      <c r="J491" s="60"/>
      <c r="K491" s="60"/>
      <c r="L491" s="60"/>
      <c r="M491" s="60"/>
      <c r="N491" s="60"/>
      <c r="O491" s="60"/>
      <c r="P491" s="60"/>
      <c r="Q491" s="60"/>
      <c r="R491" s="60"/>
      <c r="S491" s="60"/>
      <c r="T491" s="60"/>
      <c r="U491" s="60"/>
      <c r="V491" s="60"/>
      <c r="W491" s="60"/>
    </row>
    <row r="492" spans="7:23" x14ac:dyDescent="0.25">
      <c r="G492" s="60"/>
      <c r="H492" s="60"/>
      <c r="I492" s="60"/>
      <c r="J492" s="60"/>
      <c r="K492" s="60"/>
      <c r="L492" s="60"/>
      <c r="M492" s="60"/>
      <c r="N492" s="60"/>
      <c r="O492" s="60"/>
      <c r="P492" s="60"/>
      <c r="Q492" s="60"/>
      <c r="R492" s="60"/>
      <c r="S492" s="60"/>
      <c r="T492" s="60"/>
      <c r="U492" s="60"/>
      <c r="V492" s="60"/>
      <c r="W492" s="60"/>
    </row>
    <row r="493" spans="7:23" x14ac:dyDescent="0.25">
      <c r="G493" s="60"/>
      <c r="H493" s="60"/>
      <c r="I493" s="60"/>
      <c r="J493" s="60"/>
      <c r="K493" s="60"/>
      <c r="L493" s="60"/>
      <c r="M493" s="60"/>
      <c r="N493" s="60"/>
      <c r="O493" s="60"/>
      <c r="P493" s="60"/>
      <c r="Q493" s="60"/>
      <c r="R493" s="60"/>
      <c r="S493" s="60"/>
      <c r="T493" s="60"/>
      <c r="U493" s="60"/>
      <c r="V493" s="60"/>
      <c r="W493" s="60"/>
    </row>
    <row r="494" spans="7:23" x14ac:dyDescent="0.25">
      <c r="G494" s="60"/>
      <c r="H494" s="60"/>
      <c r="I494" s="60"/>
      <c r="J494" s="60"/>
      <c r="K494" s="60"/>
      <c r="L494" s="60"/>
      <c r="M494" s="60"/>
      <c r="N494" s="60"/>
      <c r="O494" s="60"/>
      <c r="P494" s="60"/>
      <c r="Q494" s="60"/>
      <c r="R494" s="60"/>
      <c r="S494" s="60"/>
      <c r="T494" s="60"/>
      <c r="U494" s="60"/>
      <c r="V494" s="60"/>
      <c r="W494" s="60"/>
    </row>
    <row r="495" spans="7:23" x14ac:dyDescent="0.25">
      <c r="G495" s="60"/>
      <c r="H495" s="60"/>
      <c r="I495" s="60"/>
      <c r="J495" s="60"/>
      <c r="K495" s="60"/>
      <c r="L495" s="60"/>
      <c r="M495" s="60"/>
      <c r="N495" s="60"/>
      <c r="O495" s="60"/>
      <c r="P495" s="60"/>
      <c r="Q495" s="60"/>
      <c r="R495" s="60"/>
      <c r="S495" s="60"/>
      <c r="T495" s="60"/>
      <c r="U495" s="60"/>
      <c r="V495" s="60"/>
      <c r="W495" s="60"/>
    </row>
    <row r="496" spans="7:23" x14ac:dyDescent="0.25">
      <c r="G496" s="60"/>
      <c r="H496" s="60"/>
      <c r="I496" s="60"/>
      <c r="J496" s="60"/>
      <c r="K496" s="60"/>
      <c r="L496" s="60"/>
      <c r="M496" s="60"/>
      <c r="N496" s="60"/>
      <c r="O496" s="60"/>
      <c r="P496" s="60"/>
      <c r="Q496" s="60"/>
      <c r="R496" s="60"/>
      <c r="S496" s="60"/>
      <c r="T496" s="60"/>
      <c r="U496" s="60"/>
      <c r="V496" s="60"/>
      <c r="W496" s="60"/>
    </row>
    <row r="497" spans="7:23" x14ac:dyDescent="0.25">
      <c r="G497" s="60"/>
      <c r="H497" s="60"/>
      <c r="I497" s="60"/>
      <c r="J497" s="60"/>
      <c r="K497" s="60"/>
      <c r="L497" s="60"/>
      <c r="M497" s="60"/>
      <c r="N497" s="60"/>
      <c r="O497" s="60"/>
      <c r="P497" s="60"/>
      <c r="Q497" s="60"/>
      <c r="R497" s="60"/>
      <c r="S497" s="60"/>
      <c r="T497" s="60"/>
      <c r="U497" s="60"/>
      <c r="V497" s="60"/>
      <c r="W497" s="60"/>
    </row>
    <row r="498" spans="7:23" x14ac:dyDescent="0.25">
      <c r="G498" s="60"/>
      <c r="H498" s="60"/>
      <c r="I498" s="60"/>
      <c r="J498" s="60"/>
      <c r="K498" s="60"/>
      <c r="L498" s="60"/>
      <c r="M498" s="60"/>
      <c r="N498" s="60"/>
      <c r="O498" s="60"/>
      <c r="P498" s="60"/>
      <c r="Q498" s="60"/>
      <c r="R498" s="60"/>
      <c r="S498" s="60"/>
      <c r="T498" s="60"/>
      <c r="U498" s="60"/>
      <c r="V498" s="60"/>
      <c r="W498" s="60"/>
    </row>
    <row r="499" spans="7:23" x14ac:dyDescent="0.25">
      <c r="G499" s="60"/>
      <c r="H499" s="60"/>
      <c r="I499" s="60"/>
      <c r="J499" s="60"/>
      <c r="K499" s="60"/>
      <c r="L499" s="60"/>
      <c r="M499" s="60"/>
      <c r="N499" s="60"/>
      <c r="O499" s="60"/>
      <c r="P499" s="60"/>
      <c r="Q499" s="60"/>
      <c r="R499" s="60"/>
      <c r="S499" s="60"/>
      <c r="T499" s="60"/>
      <c r="U499" s="60"/>
      <c r="V499" s="60"/>
      <c r="W499" s="60"/>
    </row>
    <row r="500" spans="7:23" x14ac:dyDescent="0.25">
      <c r="G500" s="60"/>
      <c r="H500" s="60"/>
      <c r="I500" s="60"/>
      <c r="J500" s="60"/>
      <c r="K500" s="60"/>
      <c r="L500" s="60"/>
      <c r="M500" s="60"/>
      <c r="N500" s="60"/>
      <c r="O500" s="60"/>
      <c r="P500" s="60"/>
      <c r="Q500" s="60"/>
      <c r="R500" s="60"/>
      <c r="S500" s="60"/>
      <c r="T500" s="60"/>
      <c r="U500" s="60"/>
      <c r="V500" s="60"/>
      <c r="W500" s="60"/>
    </row>
    <row r="501" spans="7:23" x14ac:dyDescent="0.25">
      <c r="G501" s="60"/>
      <c r="H501" s="60"/>
      <c r="I501" s="60"/>
      <c r="J501" s="60"/>
      <c r="K501" s="60"/>
      <c r="L501" s="60"/>
      <c r="M501" s="60"/>
      <c r="N501" s="60"/>
      <c r="O501" s="60"/>
      <c r="P501" s="60"/>
      <c r="Q501" s="60"/>
      <c r="R501" s="60"/>
      <c r="S501" s="60"/>
      <c r="T501" s="60"/>
      <c r="U501" s="60"/>
      <c r="V501" s="60"/>
      <c r="W501" s="60"/>
    </row>
    <row r="502" spans="7:23" x14ac:dyDescent="0.25">
      <c r="G502" s="60"/>
      <c r="H502" s="60"/>
      <c r="I502" s="60"/>
      <c r="J502" s="60"/>
      <c r="K502" s="60"/>
      <c r="L502" s="60"/>
      <c r="M502" s="60"/>
      <c r="N502" s="60"/>
      <c r="O502" s="60"/>
      <c r="P502" s="60"/>
      <c r="Q502" s="60"/>
      <c r="R502" s="60"/>
      <c r="S502" s="60"/>
      <c r="T502" s="60"/>
      <c r="U502" s="60"/>
      <c r="V502" s="60"/>
      <c r="W502" s="60"/>
    </row>
    <row r="503" spans="7:23" x14ac:dyDescent="0.25">
      <c r="G503" s="60"/>
      <c r="H503" s="60"/>
      <c r="I503" s="60"/>
      <c r="J503" s="60"/>
      <c r="K503" s="60"/>
      <c r="L503" s="60"/>
      <c r="M503" s="60"/>
      <c r="N503" s="60"/>
      <c r="O503" s="60"/>
      <c r="P503" s="60"/>
      <c r="Q503" s="60"/>
      <c r="R503" s="60"/>
      <c r="S503" s="60"/>
      <c r="T503" s="60"/>
      <c r="U503" s="60"/>
      <c r="V503" s="60"/>
      <c r="W503" s="60"/>
    </row>
    <row r="504" spans="7:23" x14ac:dyDescent="0.25">
      <c r="G504" s="60"/>
      <c r="H504" s="60"/>
      <c r="I504" s="60"/>
      <c r="J504" s="60"/>
      <c r="K504" s="60"/>
      <c r="L504" s="60"/>
      <c r="M504" s="60"/>
      <c r="N504" s="60"/>
      <c r="O504" s="60"/>
      <c r="P504" s="60"/>
      <c r="Q504" s="60"/>
      <c r="R504" s="60"/>
      <c r="S504" s="60"/>
      <c r="T504" s="60"/>
      <c r="U504" s="60"/>
      <c r="V504" s="60"/>
      <c r="W504" s="60"/>
    </row>
    <row r="505" spans="7:23" x14ac:dyDescent="0.25">
      <c r="G505" s="60"/>
      <c r="H505" s="60"/>
      <c r="I505" s="60"/>
      <c r="J505" s="60"/>
      <c r="K505" s="60"/>
      <c r="L505" s="60"/>
      <c r="M505" s="60"/>
      <c r="N505" s="60"/>
      <c r="O505" s="60"/>
      <c r="P505" s="60"/>
      <c r="Q505" s="60"/>
      <c r="R505" s="60"/>
      <c r="S505" s="60"/>
      <c r="T505" s="60"/>
      <c r="U505" s="60"/>
      <c r="V505" s="60"/>
      <c r="W505" s="60"/>
    </row>
    <row r="506" spans="7:23" x14ac:dyDescent="0.25">
      <c r="G506" s="60"/>
      <c r="H506" s="60"/>
      <c r="I506" s="60"/>
      <c r="J506" s="60"/>
      <c r="K506" s="60"/>
      <c r="L506" s="60"/>
      <c r="M506" s="60"/>
      <c r="N506" s="60"/>
      <c r="O506" s="60"/>
      <c r="P506" s="60"/>
      <c r="Q506" s="60"/>
      <c r="R506" s="60"/>
      <c r="S506" s="60"/>
      <c r="T506" s="60"/>
      <c r="U506" s="60"/>
      <c r="V506" s="60"/>
      <c r="W506" s="60"/>
    </row>
    <row r="507" spans="7:23" x14ac:dyDescent="0.25">
      <c r="G507" s="60"/>
      <c r="H507" s="60"/>
      <c r="I507" s="60"/>
      <c r="J507" s="60"/>
      <c r="K507" s="60"/>
      <c r="L507" s="60"/>
      <c r="M507" s="60"/>
      <c r="N507" s="60"/>
      <c r="O507" s="60"/>
      <c r="P507" s="60"/>
      <c r="Q507" s="60"/>
      <c r="R507" s="60"/>
      <c r="S507" s="60"/>
      <c r="T507" s="60"/>
      <c r="U507" s="60"/>
      <c r="V507" s="60"/>
      <c r="W507" s="60"/>
    </row>
    <row r="508" spans="7:23" x14ac:dyDescent="0.25">
      <c r="G508" s="60"/>
      <c r="H508" s="60"/>
      <c r="I508" s="60"/>
      <c r="J508" s="60"/>
      <c r="K508" s="60"/>
      <c r="L508" s="60"/>
      <c r="M508" s="60"/>
      <c r="N508" s="60"/>
      <c r="O508" s="60"/>
      <c r="P508" s="60"/>
      <c r="Q508" s="60"/>
      <c r="R508" s="60"/>
      <c r="S508" s="60"/>
      <c r="T508" s="60"/>
      <c r="U508" s="60"/>
      <c r="V508" s="60"/>
      <c r="W508" s="60"/>
    </row>
    <row r="509" spans="7:23" x14ac:dyDescent="0.25">
      <c r="G509" s="60"/>
      <c r="H509" s="60"/>
      <c r="I509" s="60"/>
      <c r="J509" s="60"/>
      <c r="K509" s="60"/>
      <c r="L509" s="60"/>
      <c r="M509" s="60"/>
      <c r="N509" s="60"/>
      <c r="O509" s="60"/>
      <c r="P509" s="60"/>
      <c r="Q509" s="60"/>
      <c r="R509" s="60"/>
      <c r="S509" s="60"/>
      <c r="T509" s="60"/>
      <c r="U509" s="60"/>
      <c r="V509" s="60"/>
      <c r="W509" s="60"/>
    </row>
    <row r="510" spans="7:23" x14ac:dyDescent="0.25">
      <c r="G510" s="60"/>
      <c r="H510" s="60"/>
      <c r="I510" s="60"/>
      <c r="J510" s="60"/>
      <c r="K510" s="60"/>
      <c r="L510" s="60"/>
      <c r="M510" s="60"/>
      <c r="N510" s="60"/>
      <c r="O510" s="60"/>
      <c r="P510" s="60"/>
      <c r="Q510" s="60"/>
      <c r="R510" s="60"/>
      <c r="S510" s="60"/>
      <c r="T510" s="60"/>
      <c r="U510" s="60"/>
      <c r="V510" s="60"/>
      <c r="W510" s="60"/>
    </row>
    <row r="511" spans="7:23" x14ac:dyDescent="0.25">
      <c r="G511" s="60"/>
      <c r="H511" s="60"/>
      <c r="I511" s="60"/>
      <c r="J511" s="60"/>
      <c r="K511" s="60"/>
      <c r="L511" s="60"/>
      <c r="M511" s="60"/>
      <c r="N511" s="60"/>
      <c r="O511" s="60"/>
      <c r="P511" s="60"/>
      <c r="Q511" s="60"/>
      <c r="R511" s="60"/>
      <c r="S511" s="60"/>
      <c r="T511" s="60"/>
      <c r="U511" s="60"/>
      <c r="V511" s="60"/>
      <c r="W511" s="60"/>
    </row>
    <row r="512" spans="7:23" x14ac:dyDescent="0.25">
      <c r="G512" s="60"/>
      <c r="H512" s="60"/>
      <c r="I512" s="60"/>
      <c r="J512" s="60"/>
      <c r="K512" s="60"/>
      <c r="L512" s="60"/>
      <c r="M512" s="60"/>
      <c r="N512" s="60"/>
      <c r="O512" s="60"/>
      <c r="P512" s="60"/>
      <c r="Q512" s="60"/>
      <c r="R512" s="60"/>
      <c r="S512" s="60"/>
      <c r="T512" s="60"/>
      <c r="U512" s="60"/>
      <c r="V512" s="60"/>
      <c r="W512" s="60"/>
    </row>
    <row r="513" spans="7:23" x14ac:dyDescent="0.25">
      <c r="G513" s="60"/>
      <c r="H513" s="60"/>
      <c r="I513" s="60"/>
      <c r="J513" s="60"/>
      <c r="K513" s="60"/>
      <c r="L513" s="60"/>
      <c r="M513" s="60"/>
      <c r="N513" s="60"/>
      <c r="O513" s="60"/>
      <c r="P513" s="60"/>
      <c r="Q513" s="60"/>
      <c r="R513" s="60"/>
      <c r="S513" s="60"/>
      <c r="T513" s="60"/>
      <c r="U513" s="60"/>
      <c r="V513" s="60"/>
      <c r="W513" s="60"/>
    </row>
    <row r="514" spans="7:23" x14ac:dyDescent="0.25">
      <c r="G514" s="60"/>
      <c r="H514" s="60"/>
      <c r="I514" s="60"/>
      <c r="J514" s="60"/>
      <c r="K514" s="60"/>
      <c r="L514" s="60"/>
      <c r="M514" s="60"/>
      <c r="N514" s="60"/>
      <c r="O514" s="60"/>
      <c r="P514" s="60"/>
      <c r="Q514" s="60"/>
      <c r="R514" s="60"/>
      <c r="S514" s="60"/>
      <c r="T514" s="60"/>
      <c r="U514" s="60"/>
      <c r="V514" s="60"/>
      <c r="W514" s="60"/>
    </row>
    <row r="515" spans="7:23" x14ac:dyDescent="0.25">
      <c r="G515" s="60"/>
      <c r="H515" s="60"/>
      <c r="I515" s="60"/>
      <c r="J515" s="60"/>
      <c r="K515" s="60"/>
      <c r="L515" s="60"/>
      <c r="M515" s="60"/>
      <c r="N515" s="60"/>
      <c r="O515" s="60"/>
      <c r="P515" s="60"/>
      <c r="Q515" s="60"/>
      <c r="R515" s="60"/>
      <c r="S515" s="60"/>
      <c r="T515" s="60"/>
      <c r="U515" s="60"/>
      <c r="V515" s="60"/>
      <c r="W515" s="60"/>
    </row>
    <row r="516" spans="7:23" x14ac:dyDescent="0.25">
      <c r="G516" s="60"/>
      <c r="H516" s="60"/>
      <c r="I516" s="60"/>
      <c r="J516" s="60"/>
      <c r="K516" s="60"/>
      <c r="L516" s="60"/>
      <c r="M516" s="60"/>
      <c r="N516" s="60"/>
      <c r="O516" s="60"/>
      <c r="P516" s="60"/>
      <c r="Q516" s="60"/>
      <c r="R516" s="60"/>
      <c r="S516" s="60"/>
      <c r="T516" s="60"/>
      <c r="U516" s="60"/>
      <c r="V516" s="60"/>
      <c r="W516" s="60"/>
    </row>
    <row r="517" spans="7:23" x14ac:dyDescent="0.25">
      <c r="G517" s="60"/>
      <c r="H517" s="60"/>
      <c r="I517" s="60"/>
      <c r="J517" s="60"/>
      <c r="K517" s="60"/>
      <c r="L517" s="60"/>
      <c r="M517" s="60"/>
      <c r="N517" s="60"/>
      <c r="O517" s="60"/>
      <c r="P517" s="60"/>
      <c r="Q517" s="60"/>
      <c r="R517" s="60"/>
      <c r="S517" s="60"/>
      <c r="T517" s="60"/>
      <c r="U517" s="60"/>
      <c r="V517" s="60"/>
      <c r="W517" s="60"/>
    </row>
    <row r="518" spans="7:23" x14ac:dyDescent="0.25">
      <c r="G518" s="60"/>
      <c r="H518" s="60"/>
      <c r="I518" s="60"/>
      <c r="J518" s="60"/>
      <c r="K518" s="60"/>
      <c r="L518" s="60"/>
      <c r="M518" s="60"/>
      <c r="N518" s="60"/>
      <c r="O518" s="60"/>
      <c r="P518" s="60"/>
      <c r="Q518" s="60"/>
      <c r="R518" s="60"/>
      <c r="S518" s="60"/>
      <c r="T518" s="60"/>
      <c r="U518" s="60"/>
      <c r="V518" s="60"/>
      <c r="W518" s="60"/>
    </row>
    <row r="519" spans="7:23" x14ac:dyDescent="0.25">
      <c r="G519" s="60"/>
      <c r="H519" s="60"/>
      <c r="I519" s="60"/>
      <c r="J519" s="60"/>
      <c r="K519" s="60"/>
      <c r="L519" s="60"/>
      <c r="M519" s="60"/>
      <c r="N519" s="60"/>
      <c r="O519" s="60"/>
      <c r="P519" s="60"/>
      <c r="Q519" s="60"/>
      <c r="R519" s="60"/>
      <c r="S519" s="60"/>
      <c r="T519" s="60"/>
      <c r="U519" s="60"/>
      <c r="V519" s="60"/>
      <c r="W519" s="60"/>
    </row>
    <row r="520" spans="7:23" x14ac:dyDescent="0.25">
      <c r="G520" s="60"/>
      <c r="H520" s="60"/>
      <c r="I520" s="60"/>
      <c r="J520" s="60"/>
      <c r="K520" s="60"/>
      <c r="L520" s="60"/>
      <c r="M520" s="60"/>
      <c r="N520" s="60"/>
      <c r="O520" s="60"/>
      <c r="P520" s="60"/>
      <c r="Q520" s="60"/>
      <c r="R520" s="60"/>
      <c r="S520" s="60"/>
      <c r="T520" s="60"/>
      <c r="U520" s="60"/>
      <c r="V520" s="60"/>
      <c r="W520" s="60"/>
    </row>
    <row r="521" spans="7:23" x14ac:dyDescent="0.25">
      <c r="G521" s="60"/>
      <c r="H521" s="60"/>
      <c r="I521" s="60"/>
      <c r="J521" s="60"/>
      <c r="K521" s="60"/>
      <c r="L521" s="60"/>
      <c r="M521" s="60"/>
      <c r="N521" s="60"/>
      <c r="O521" s="60"/>
      <c r="P521" s="60"/>
      <c r="Q521" s="60"/>
      <c r="R521" s="60"/>
      <c r="S521" s="60"/>
      <c r="T521" s="60"/>
      <c r="U521" s="60"/>
      <c r="V521" s="60"/>
      <c r="W521" s="60"/>
    </row>
    <row r="522" spans="7:23" x14ac:dyDescent="0.25">
      <c r="G522" s="60"/>
      <c r="H522" s="60"/>
      <c r="I522" s="60"/>
      <c r="J522" s="60"/>
      <c r="K522" s="60"/>
      <c r="L522" s="60"/>
      <c r="M522" s="60"/>
      <c r="N522" s="60"/>
      <c r="O522" s="60"/>
      <c r="P522" s="60"/>
      <c r="Q522" s="60"/>
      <c r="R522" s="60"/>
      <c r="S522" s="60"/>
      <c r="T522" s="60"/>
      <c r="U522" s="60"/>
      <c r="V522" s="60"/>
      <c r="W522" s="60"/>
    </row>
    <row r="523" spans="7:23" x14ac:dyDescent="0.25">
      <c r="G523" s="60"/>
      <c r="H523" s="60"/>
      <c r="I523" s="60"/>
      <c r="J523" s="60"/>
      <c r="K523" s="60"/>
      <c r="L523" s="60"/>
      <c r="M523" s="60"/>
      <c r="N523" s="60"/>
      <c r="O523" s="60"/>
      <c r="P523" s="60"/>
      <c r="Q523" s="60"/>
      <c r="R523" s="60"/>
      <c r="S523" s="60"/>
      <c r="T523" s="60"/>
      <c r="U523" s="60"/>
      <c r="V523" s="60"/>
      <c r="W523" s="60"/>
    </row>
    <row r="524" spans="7:23" x14ac:dyDescent="0.25">
      <c r="G524" s="60"/>
      <c r="H524" s="60"/>
      <c r="I524" s="60"/>
      <c r="J524" s="60"/>
      <c r="K524" s="60"/>
      <c r="L524" s="60"/>
      <c r="M524" s="60"/>
      <c r="N524" s="60"/>
      <c r="O524" s="60"/>
      <c r="P524" s="60"/>
      <c r="Q524" s="60"/>
      <c r="R524" s="60"/>
      <c r="S524" s="60"/>
      <c r="T524" s="60"/>
      <c r="U524" s="60"/>
      <c r="V524" s="60"/>
      <c r="W524" s="60"/>
    </row>
    <row r="525" spans="7:23" x14ac:dyDescent="0.25">
      <c r="G525" s="60"/>
      <c r="H525" s="60"/>
      <c r="I525" s="60"/>
      <c r="J525" s="60"/>
      <c r="K525" s="60"/>
      <c r="L525" s="60"/>
      <c r="M525" s="60"/>
      <c r="N525" s="60"/>
      <c r="O525" s="60"/>
      <c r="P525" s="60"/>
      <c r="Q525" s="60"/>
      <c r="R525" s="60"/>
      <c r="S525" s="60"/>
      <c r="T525" s="60"/>
      <c r="U525" s="60"/>
      <c r="V525" s="60"/>
      <c r="W525" s="60"/>
    </row>
    <row r="526" spans="7:23" x14ac:dyDescent="0.25">
      <c r="G526" s="60"/>
      <c r="H526" s="60"/>
      <c r="I526" s="60"/>
      <c r="J526" s="60"/>
      <c r="K526" s="60"/>
      <c r="L526" s="60"/>
      <c r="M526" s="60"/>
      <c r="N526" s="60"/>
      <c r="O526" s="60"/>
      <c r="P526" s="60"/>
      <c r="Q526" s="60"/>
      <c r="R526" s="60"/>
      <c r="S526" s="60"/>
      <c r="T526" s="60"/>
      <c r="U526" s="60"/>
      <c r="V526" s="60"/>
      <c r="W526" s="60"/>
    </row>
    <row r="527" spans="7:23" x14ac:dyDescent="0.25">
      <c r="G527" s="60"/>
      <c r="H527" s="60"/>
      <c r="I527" s="60"/>
      <c r="J527" s="60"/>
      <c r="K527" s="60"/>
      <c r="L527" s="60"/>
      <c r="M527" s="60"/>
      <c r="N527" s="60"/>
      <c r="O527" s="60"/>
      <c r="P527" s="60"/>
      <c r="Q527" s="60"/>
      <c r="R527" s="60"/>
      <c r="S527" s="60"/>
      <c r="T527" s="60"/>
      <c r="U527" s="60"/>
      <c r="V527" s="60"/>
      <c r="W527" s="60"/>
    </row>
    <row r="528" spans="7:23" x14ac:dyDescent="0.25">
      <c r="G528" s="60"/>
      <c r="H528" s="60"/>
      <c r="I528" s="60"/>
      <c r="J528" s="60"/>
      <c r="K528" s="60"/>
      <c r="L528" s="60"/>
      <c r="M528" s="60"/>
      <c r="N528" s="60"/>
      <c r="O528" s="60"/>
      <c r="P528" s="60"/>
      <c r="Q528" s="60"/>
      <c r="R528" s="60"/>
      <c r="S528" s="60"/>
      <c r="T528" s="60"/>
      <c r="U528" s="60"/>
      <c r="V528" s="60"/>
      <c r="W528" s="60"/>
    </row>
    <row r="529" spans="7:23" x14ac:dyDescent="0.25">
      <c r="G529" s="60"/>
      <c r="H529" s="60"/>
      <c r="I529" s="60"/>
      <c r="J529" s="60"/>
      <c r="K529" s="60"/>
      <c r="L529" s="60"/>
      <c r="M529" s="60"/>
      <c r="N529" s="60"/>
      <c r="O529" s="60"/>
      <c r="P529" s="60"/>
      <c r="Q529" s="60"/>
      <c r="R529" s="60"/>
      <c r="S529" s="60"/>
      <c r="T529" s="60"/>
      <c r="U529" s="60"/>
      <c r="V529" s="60"/>
      <c r="W529" s="60"/>
    </row>
    <row r="530" spans="7:23" x14ac:dyDescent="0.25">
      <c r="G530" s="60"/>
      <c r="H530" s="60"/>
      <c r="I530" s="60"/>
      <c r="J530" s="60"/>
      <c r="K530" s="60"/>
      <c r="L530" s="60"/>
      <c r="M530" s="60"/>
      <c r="N530" s="60"/>
      <c r="O530" s="60"/>
      <c r="P530" s="60"/>
      <c r="Q530" s="60"/>
      <c r="R530" s="60"/>
      <c r="S530" s="60"/>
      <c r="T530" s="60"/>
      <c r="U530" s="60"/>
      <c r="V530" s="60"/>
      <c r="W530" s="60"/>
    </row>
    <row r="531" spans="7:23" x14ac:dyDescent="0.25">
      <c r="G531" s="60"/>
      <c r="H531" s="60"/>
      <c r="I531" s="60"/>
      <c r="J531" s="60"/>
      <c r="K531" s="60"/>
      <c r="L531" s="60"/>
      <c r="M531" s="60"/>
      <c r="N531" s="60"/>
      <c r="O531" s="60"/>
      <c r="P531" s="60"/>
      <c r="Q531" s="60"/>
      <c r="R531" s="60"/>
      <c r="S531" s="60"/>
      <c r="T531" s="60"/>
      <c r="U531" s="60"/>
      <c r="V531" s="60"/>
      <c r="W531" s="60"/>
    </row>
    <row r="532" spans="7:23" x14ac:dyDescent="0.25">
      <c r="G532" s="60"/>
      <c r="H532" s="60"/>
      <c r="I532" s="60"/>
      <c r="J532" s="60"/>
      <c r="K532" s="60"/>
      <c r="L532" s="60"/>
      <c r="M532" s="60"/>
      <c r="N532" s="60"/>
      <c r="O532" s="60"/>
      <c r="P532" s="60"/>
      <c r="Q532" s="60"/>
      <c r="R532" s="60"/>
      <c r="S532" s="60"/>
      <c r="T532" s="60"/>
      <c r="U532" s="60"/>
      <c r="V532" s="60"/>
      <c r="W532" s="60"/>
    </row>
    <row r="533" spans="7:23" x14ac:dyDescent="0.25">
      <c r="G533" s="60"/>
      <c r="H533" s="60"/>
      <c r="I533" s="60"/>
      <c r="J533" s="60"/>
      <c r="K533" s="60"/>
      <c r="L533" s="60"/>
      <c r="M533" s="60"/>
      <c r="N533" s="60"/>
      <c r="O533" s="60"/>
      <c r="P533" s="60"/>
      <c r="Q533" s="60"/>
      <c r="R533" s="60"/>
      <c r="S533" s="60"/>
      <c r="T533" s="60"/>
      <c r="U533" s="60"/>
      <c r="V533" s="60"/>
      <c r="W533" s="60"/>
    </row>
    <row r="534" spans="7:23" x14ac:dyDescent="0.25">
      <c r="G534" s="60"/>
      <c r="H534" s="60"/>
      <c r="I534" s="60"/>
      <c r="J534" s="60"/>
      <c r="K534" s="60"/>
      <c r="L534" s="60"/>
      <c r="M534" s="60"/>
      <c r="N534" s="60"/>
      <c r="O534" s="60"/>
      <c r="P534" s="60"/>
      <c r="Q534" s="60"/>
      <c r="R534" s="60"/>
      <c r="S534" s="60"/>
      <c r="T534" s="60"/>
      <c r="U534" s="60"/>
      <c r="V534" s="60"/>
      <c r="W534" s="60"/>
    </row>
    <row r="535" spans="7:23" x14ac:dyDescent="0.25">
      <c r="G535" s="60"/>
      <c r="H535" s="60"/>
      <c r="I535" s="60"/>
      <c r="J535" s="60"/>
      <c r="K535" s="60"/>
      <c r="L535" s="60"/>
      <c r="M535" s="60"/>
      <c r="N535" s="60"/>
      <c r="O535" s="60"/>
      <c r="P535" s="60"/>
      <c r="Q535" s="60"/>
      <c r="R535" s="60"/>
      <c r="S535" s="60"/>
      <c r="T535" s="60"/>
      <c r="U535" s="60"/>
      <c r="V535" s="60"/>
      <c r="W535" s="60"/>
    </row>
    <row r="536" spans="7:23" x14ac:dyDescent="0.25">
      <c r="G536" s="60"/>
      <c r="H536" s="60"/>
      <c r="I536" s="60"/>
      <c r="J536" s="60"/>
      <c r="K536" s="60"/>
      <c r="L536" s="60"/>
      <c r="M536" s="60"/>
      <c r="N536" s="60"/>
      <c r="O536" s="60"/>
      <c r="P536" s="60"/>
      <c r="Q536" s="60"/>
      <c r="R536" s="60"/>
      <c r="S536" s="60"/>
      <c r="T536" s="60"/>
      <c r="U536" s="60"/>
      <c r="V536" s="60"/>
      <c r="W536" s="60"/>
    </row>
    <row r="537" spans="7:23" x14ac:dyDescent="0.25">
      <c r="G537" s="60"/>
      <c r="H537" s="60"/>
      <c r="I537" s="60"/>
      <c r="J537" s="60"/>
      <c r="K537" s="60"/>
      <c r="L537" s="60"/>
      <c r="M537" s="60"/>
      <c r="N537" s="60"/>
      <c r="O537" s="60"/>
      <c r="P537" s="60"/>
      <c r="Q537" s="60"/>
      <c r="R537" s="60"/>
      <c r="S537" s="60"/>
      <c r="T537" s="60"/>
      <c r="U537" s="60"/>
      <c r="V537" s="60"/>
      <c r="W537" s="60"/>
    </row>
    <row r="538" spans="7:23" x14ac:dyDescent="0.25">
      <c r="G538" s="60"/>
      <c r="H538" s="60"/>
      <c r="I538" s="60"/>
      <c r="J538" s="60"/>
      <c r="K538" s="60"/>
      <c r="L538" s="60"/>
      <c r="M538" s="60"/>
      <c r="N538" s="60"/>
      <c r="O538" s="60"/>
      <c r="P538" s="60"/>
      <c r="Q538" s="60"/>
      <c r="R538" s="60"/>
      <c r="S538" s="60"/>
      <c r="T538" s="60"/>
      <c r="U538" s="60"/>
      <c r="V538" s="60"/>
      <c r="W538" s="60"/>
    </row>
    <row r="539" spans="7:23" x14ac:dyDescent="0.25">
      <c r="G539" s="60"/>
      <c r="H539" s="60"/>
      <c r="I539" s="60"/>
      <c r="J539" s="60"/>
      <c r="K539" s="60"/>
      <c r="L539" s="60"/>
      <c r="M539" s="60"/>
      <c r="N539" s="60"/>
      <c r="O539" s="60"/>
      <c r="P539" s="60"/>
      <c r="Q539" s="60"/>
      <c r="R539" s="60"/>
      <c r="S539" s="60"/>
      <c r="T539" s="60"/>
      <c r="U539" s="60"/>
      <c r="V539" s="60"/>
      <c r="W539" s="60"/>
    </row>
    <row r="540" spans="7:23" x14ac:dyDescent="0.25">
      <c r="G540" s="60"/>
      <c r="H540" s="60"/>
      <c r="I540" s="60"/>
      <c r="J540" s="60"/>
      <c r="K540" s="60"/>
      <c r="L540" s="60"/>
      <c r="M540" s="60"/>
      <c r="N540" s="60"/>
      <c r="O540" s="60"/>
      <c r="P540" s="60"/>
      <c r="Q540" s="60"/>
      <c r="R540" s="60"/>
      <c r="S540" s="60"/>
      <c r="T540" s="60"/>
      <c r="U540" s="60"/>
      <c r="V540" s="60"/>
      <c r="W540" s="60"/>
    </row>
    <row r="541" spans="7:23" x14ac:dyDescent="0.25">
      <c r="G541" s="60"/>
      <c r="H541" s="60"/>
      <c r="I541" s="60"/>
      <c r="J541" s="60"/>
      <c r="K541" s="60"/>
      <c r="L541" s="60"/>
      <c r="M541" s="60"/>
      <c r="N541" s="60"/>
      <c r="O541" s="60"/>
      <c r="P541" s="60"/>
      <c r="Q541" s="60"/>
      <c r="R541" s="60"/>
      <c r="S541" s="60"/>
      <c r="T541" s="60"/>
      <c r="U541" s="60"/>
      <c r="V541" s="60"/>
      <c r="W541" s="60"/>
    </row>
    <row r="542" spans="7:23" x14ac:dyDescent="0.25">
      <c r="G542" s="60"/>
      <c r="H542" s="60"/>
      <c r="I542" s="60"/>
      <c r="J542" s="60"/>
      <c r="K542" s="60"/>
      <c r="L542" s="60"/>
      <c r="M542" s="60"/>
      <c r="N542" s="60"/>
      <c r="O542" s="60"/>
      <c r="P542" s="60"/>
      <c r="Q542" s="60"/>
      <c r="R542" s="60"/>
      <c r="S542" s="60"/>
      <c r="T542" s="60"/>
      <c r="U542" s="60"/>
      <c r="V542" s="60"/>
      <c r="W542" s="60"/>
    </row>
    <row r="543" spans="7:23" x14ac:dyDescent="0.25">
      <c r="G543" s="60"/>
      <c r="H543" s="60"/>
      <c r="I543" s="60"/>
      <c r="J543" s="60"/>
      <c r="K543" s="60"/>
      <c r="L543" s="60"/>
      <c r="M543" s="60"/>
      <c r="N543" s="60"/>
      <c r="O543" s="60"/>
      <c r="P543" s="60"/>
      <c r="Q543" s="60"/>
      <c r="R543" s="60"/>
      <c r="S543" s="60"/>
      <c r="T543" s="60"/>
      <c r="U543" s="60"/>
      <c r="V543" s="60"/>
      <c r="W543" s="60"/>
    </row>
    <row r="544" spans="7:23" x14ac:dyDescent="0.25">
      <c r="G544" s="60"/>
      <c r="H544" s="60"/>
      <c r="I544" s="60"/>
      <c r="J544" s="60"/>
      <c r="K544" s="60"/>
      <c r="L544" s="60"/>
      <c r="M544" s="60"/>
      <c r="N544" s="60"/>
      <c r="O544" s="60"/>
      <c r="P544" s="60"/>
      <c r="Q544" s="60"/>
      <c r="R544" s="60"/>
      <c r="S544" s="60"/>
      <c r="T544" s="60"/>
      <c r="U544" s="60"/>
      <c r="V544" s="60"/>
      <c r="W544" s="60"/>
    </row>
    <row r="545" spans="7:23" x14ac:dyDescent="0.25">
      <c r="G545" s="60"/>
      <c r="H545" s="60"/>
      <c r="I545" s="60"/>
      <c r="J545" s="60"/>
      <c r="K545" s="60"/>
      <c r="L545" s="60"/>
      <c r="M545" s="60"/>
      <c r="N545" s="60"/>
      <c r="O545" s="60"/>
      <c r="P545" s="60"/>
      <c r="Q545" s="60"/>
      <c r="R545" s="60"/>
      <c r="S545" s="60"/>
      <c r="T545" s="60"/>
      <c r="U545" s="60"/>
      <c r="V545" s="60"/>
      <c r="W545" s="60"/>
    </row>
    <row r="546" spans="7:23" x14ac:dyDescent="0.25">
      <c r="G546" s="60"/>
      <c r="H546" s="60"/>
      <c r="I546" s="60"/>
      <c r="J546" s="60"/>
      <c r="K546" s="60"/>
      <c r="L546" s="60"/>
      <c r="M546" s="60"/>
      <c r="N546" s="60"/>
      <c r="O546" s="60"/>
      <c r="P546" s="60"/>
      <c r="Q546" s="60"/>
      <c r="R546" s="60"/>
      <c r="S546" s="60"/>
      <c r="T546" s="60"/>
      <c r="U546" s="60"/>
      <c r="V546" s="60"/>
      <c r="W546" s="60"/>
    </row>
    <row r="547" spans="7:23" x14ac:dyDescent="0.25">
      <c r="G547" s="60"/>
      <c r="H547" s="60"/>
      <c r="I547" s="60"/>
      <c r="J547" s="60"/>
      <c r="K547" s="60"/>
      <c r="L547" s="60"/>
      <c r="M547" s="60"/>
      <c r="N547" s="60"/>
      <c r="O547" s="60"/>
      <c r="P547" s="60"/>
      <c r="Q547" s="60"/>
      <c r="R547" s="60"/>
      <c r="S547" s="60"/>
      <c r="T547" s="60"/>
      <c r="U547" s="60"/>
      <c r="V547" s="60"/>
      <c r="W547" s="60"/>
    </row>
    <row r="548" spans="7:23" x14ac:dyDescent="0.25">
      <c r="G548" s="60"/>
      <c r="H548" s="60"/>
      <c r="I548" s="60"/>
      <c r="J548" s="60"/>
      <c r="K548" s="60"/>
      <c r="L548" s="60"/>
      <c r="M548" s="60"/>
      <c r="N548" s="60"/>
      <c r="O548" s="60"/>
      <c r="P548" s="60"/>
      <c r="Q548" s="60"/>
      <c r="R548" s="60"/>
      <c r="S548" s="60"/>
      <c r="T548" s="60"/>
      <c r="U548" s="60"/>
      <c r="V548" s="60"/>
      <c r="W548" s="60"/>
    </row>
    <row r="549" spans="7:23" x14ac:dyDescent="0.25">
      <c r="G549" s="60"/>
      <c r="H549" s="60"/>
      <c r="I549" s="60"/>
      <c r="J549" s="60"/>
      <c r="K549" s="60"/>
      <c r="L549" s="60"/>
      <c r="M549" s="60"/>
      <c r="N549" s="60"/>
      <c r="O549" s="60"/>
      <c r="P549" s="60"/>
      <c r="Q549" s="60"/>
      <c r="R549" s="60"/>
      <c r="S549" s="60"/>
      <c r="T549" s="60"/>
      <c r="U549" s="60"/>
      <c r="V549" s="60"/>
      <c r="W549" s="60"/>
    </row>
    <row r="550" spans="7:23" x14ac:dyDescent="0.25">
      <c r="G550" s="60"/>
      <c r="H550" s="60"/>
      <c r="I550" s="60"/>
      <c r="J550" s="60"/>
      <c r="K550" s="60"/>
      <c r="L550" s="60"/>
      <c r="M550" s="60"/>
      <c r="N550" s="60"/>
      <c r="O550" s="60"/>
      <c r="P550" s="60"/>
      <c r="Q550" s="60"/>
      <c r="R550" s="60"/>
      <c r="S550" s="60"/>
      <c r="T550" s="60"/>
      <c r="U550" s="60"/>
      <c r="V550" s="60"/>
      <c r="W550" s="60"/>
    </row>
    <row r="551" spans="7:23" x14ac:dyDescent="0.25">
      <c r="G551" s="60"/>
      <c r="H551" s="60"/>
      <c r="I551" s="60"/>
      <c r="J551" s="60"/>
      <c r="K551" s="60"/>
      <c r="L551" s="60"/>
      <c r="M551" s="60"/>
      <c r="N551" s="60"/>
      <c r="O551" s="60"/>
      <c r="P551" s="60"/>
      <c r="Q551" s="60"/>
      <c r="R551" s="60"/>
      <c r="S551" s="60"/>
      <c r="T551" s="60"/>
      <c r="U551" s="60"/>
      <c r="V551" s="60"/>
      <c r="W551" s="60"/>
    </row>
    <row r="552" spans="7:23" x14ac:dyDescent="0.25">
      <c r="G552" s="60"/>
      <c r="H552" s="60"/>
      <c r="I552" s="60"/>
      <c r="J552" s="60"/>
      <c r="K552" s="60"/>
      <c r="L552" s="60"/>
      <c r="M552" s="60"/>
      <c r="N552" s="60"/>
      <c r="O552" s="60"/>
      <c r="P552" s="60"/>
      <c r="Q552" s="60"/>
      <c r="R552" s="60"/>
      <c r="S552" s="60"/>
      <c r="T552" s="60"/>
      <c r="U552" s="60"/>
      <c r="V552" s="60"/>
      <c r="W552" s="60"/>
    </row>
    <row r="553" spans="7:23" x14ac:dyDescent="0.25">
      <c r="G553" s="60"/>
      <c r="H553" s="60"/>
      <c r="I553" s="60"/>
      <c r="J553" s="60"/>
      <c r="K553" s="60"/>
      <c r="L553" s="60"/>
      <c r="M553" s="60"/>
      <c r="N553" s="60"/>
      <c r="O553" s="60"/>
      <c r="P553" s="60"/>
      <c r="Q553" s="60"/>
      <c r="R553" s="60"/>
      <c r="S553" s="60"/>
      <c r="T553" s="60"/>
      <c r="U553" s="60"/>
      <c r="V553" s="60"/>
      <c r="W553" s="60"/>
    </row>
    <row r="554" spans="7:23" x14ac:dyDescent="0.25">
      <c r="G554" s="60"/>
      <c r="H554" s="60"/>
      <c r="I554" s="60"/>
      <c r="J554" s="60"/>
      <c r="K554" s="60"/>
      <c r="L554" s="60"/>
      <c r="M554" s="60"/>
      <c r="N554" s="60"/>
      <c r="O554" s="60"/>
      <c r="P554" s="60"/>
      <c r="Q554" s="60"/>
      <c r="R554" s="60"/>
      <c r="S554" s="60"/>
      <c r="T554" s="60"/>
      <c r="U554" s="60"/>
      <c r="V554" s="60"/>
      <c r="W554" s="60"/>
    </row>
    <row r="555" spans="7:23" x14ac:dyDescent="0.25">
      <c r="G555" s="60"/>
      <c r="H555" s="60"/>
      <c r="I555" s="60"/>
      <c r="J555" s="60"/>
      <c r="K555" s="60"/>
      <c r="L555" s="60"/>
      <c r="M555" s="60"/>
      <c r="N555" s="60"/>
      <c r="O555" s="60"/>
      <c r="P555" s="60"/>
      <c r="Q555" s="60"/>
      <c r="R555" s="60"/>
      <c r="S555" s="60"/>
      <c r="T555" s="60"/>
      <c r="U555" s="60"/>
      <c r="V555" s="60"/>
      <c r="W555" s="60"/>
    </row>
    <row r="556" spans="7:23" x14ac:dyDescent="0.25">
      <c r="G556" s="60"/>
      <c r="H556" s="60"/>
      <c r="I556" s="60"/>
      <c r="J556" s="60"/>
      <c r="K556" s="60"/>
      <c r="L556" s="60"/>
      <c r="M556" s="60"/>
      <c r="N556" s="60"/>
      <c r="O556" s="60"/>
      <c r="P556" s="60"/>
      <c r="Q556" s="60"/>
      <c r="R556" s="60"/>
      <c r="S556" s="60"/>
      <c r="T556" s="60"/>
      <c r="U556" s="60"/>
      <c r="V556" s="60"/>
      <c r="W556" s="60"/>
    </row>
    <row r="557" spans="7:23" x14ac:dyDescent="0.25">
      <c r="G557" s="60"/>
      <c r="H557" s="60"/>
      <c r="I557" s="60"/>
      <c r="J557" s="60"/>
      <c r="K557" s="60"/>
      <c r="L557" s="60"/>
      <c r="M557" s="60"/>
      <c r="N557" s="60"/>
      <c r="O557" s="60"/>
      <c r="P557" s="60"/>
      <c r="Q557" s="60"/>
      <c r="R557" s="60"/>
      <c r="S557" s="60"/>
      <c r="T557" s="60"/>
      <c r="U557" s="60"/>
      <c r="V557" s="60"/>
      <c r="W557" s="60"/>
    </row>
    <row r="558" spans="7:23" x14ac:dyDescent="0.25">
      <c r="G558" s="60"/>
      <c r="H558" s="60"/>
      <c r="I558" s="60"/>
      <c r="J558" s="60"/>
      <c r="K558" s="60"/>
      <c r="L558" s="60"/>
      <c r="M558" s="60"/>
      <c r="N558" s="60"/>
      <c r="O558" s="60"/>
      <c r="P558" s="60"/>
      <c r="Q558" s="60"/>
      <c r="R558" s="60"/>
      <c r="S558" s="60"/>
      <c r="T558" s="60"/>
      <c r="U558" s="60"/>
      <c r="V558" s="60"/>
      <c r="W558" s="60"/>
    </row>
    <row r="559" spans="7:23" x14ac:dyDescent="0.25">
      <c r="G559" s="60"/>
      <c r="H559" s="60"/>
      <c r="I559" s="60"/>
      <c r="J559" s="60"/>
      <c r="K559" s="60"/>
      <c r="L559" s="60"/>
      <c r="M559" s="60"/>
      <c r="N559" s="60"/>
      <c r="O559" s="60"/>
      <c r="P559" s="60"/>
      <c r="Q559" s="60"/>
      <c r="R559" s="60"/>
      <c r="S559" s="60"/>
      <c r="T559" s="60"/>
      <c r="U559" s="60"/>
      <c r="V559" s="60"/>
      <c r="W559" s="60"/>
    </row>
    <row r="560" spans="7:23" x14ac:dyDescent="0.25">
      <c r="G560" s="60"/>
      <c r="H560" s="60"/>
      <c r="I560" s="60"/>
      <c r="J560" s="60"/>
      <c r="K560" s="60"/>
      <c r="L560" s="60"/>
      <c r="M560" s="60"/>
      <c r="N560" s="60"/>
      <c r="O560" s="60"/>
      <c r="P560" s="60"/>
      <c r="Q560" s="60"/>
      <c r="R560" s="60"/>
      <c r="S560" s="60"/>
      <c r="T560" s="60"/>
      <c r="U560" s="60"/>
      <c r="V560" s="60"/>
      <c r="W560" s="60"/>
    </row>
    <row r="561" spans="7:23" x14ac:dyDescent="0.25">
      <c r="G561" s="60"/>
      <c r="H561" s="60"/>
      <c r="I561" s="60"/>
      <c r="J561" s="60"/>
      <c r="K561" s="60"/>
      <c r="L561" s="60"/>
      <c r="M561" s="60"/>
      <c r="N561" s="60"/>
      <c r="O561" s="60"/>
      <c r="P561" s="60"/>
      <c r="Q561" s="60"/>
      <c r="R561" s="60"/>
      <c r="S561" s="60"/>
      <c r="T561" s="60"/>
      <c r="U561" s="60"/>
      <c r="V561" s="60"/>
      <c r="W561" s="60"/>
    </row>
    <row r="562" spans="7:23" x14ac:dyDescent="0.25">
      <c r="G562" s="60"/>
      <c r="H562" s="60"/>
      <c r="I562" s="60"/>
      <c r="J562" s="60"/>
      <c r="K562" s="60"/>
      <c r="L562" s="60"/>
      <c r="M562" s="60"/>
      <c r="N562" s="60"/>
      <c r="O562" s="60"/>
      <c r="P562" s="60"/>
      <c r="Q562" s="60"/>
      <c r="R562" s="60"/>
      <c r="S562" s="60"/>
      <c r="T562" s="60"/>
      <c r="U562" s="60"/>
      <c r="V562" s="60"/>
      <c r="W562" s="60"/>
    </row>
    <row r="563" spans="7:23" x14ac:dyDescent="0.25">
      <c r="G563" s="60"/>
      <c r="H563" s="60"/>
      <c r="I563" s="60"/>
      <c r="J563" s="60"/>
      <c r="K563" s="60"/>
      <c r="L563" s="60"/>
      <c r="M563" s="60"/>
      <c r="N563" s="60"/>
      <c r="O563" s="60"/>
      <c r="P563" s="60"/>
      <c r="Q563" s="60"/>
      <c r="R563" s="60"/>
      <c r="S563" s="60"/>
      <c r="T563" s="60"/>
      <c r="U563" s="60"/>
      <c r="V563" s="60"/>
      <c r="W563" s="60"/>
    </row>
    <row r="564" spans="7:23" x14ac:dyDescent="0.25">
      <c r="G564" s="60"/>
      <c r="H564" s="60"/>
      <c r="I564" s="60"/>
      <c r="J564" s="60"/>
      <c r="K564" s="60"/>
      <c r="L564" s="60"/>
      <c r="M564" s="60"/>
      <c r="N564" s="60"/>
      <c r="O564" s="60"/>
      <c r="P564" s="60"/>
      <c r="Q564" s="60"/>
      <c r="R564" s="60"/>
      <c r="S564" s="60"/>
      <c r="T564" s="60"/>
      <c r="U564" s="60"/>
      <c r="V564" s="60"/>
      <c r="W564" s="60"/>
    </row>
    <row r="565" spans="7:23" x14ac:dyDescent="0.25">
      <c r="G565" s="60"/>
      <c r="H565" s="60"/>
      <c r="I565" s="60"/>
      <c r="J565" s="60"/>
      <c r="K565" s="60"/>
      <c r="L565" s="60"/>
      <c r="M565" s="60"/>
      <c r="N565" s="60"/>
      <c r="O565" s="60"/>
      <c r="P565" s="60"/>
      <c r="Q565" s="60"/>
      <c r="R565" s="60"/>
      <c r="S565" s="60"/>
      <c r="T565" s="60"/>
      <c r="U565" s="60"/>
      <c r="V565" s="60"/>
      <c r="W565" s="60"/>
    </row>
    <row r="566" spans="7:23" x14ac:dyDescent="0.25">
      <c r="G566" s="60"/>
      <c r="H566" s="60"/>
      <c r="I566" s="60"/>
      <c r="J566" s="60"/>
      <c r="K566" s="60"/>
      <c r="L566" s="60"/>
      <c r="M566" s="60"/>
      <c r="N566" s="60"/>
      <c r="O566" s="60"/>
      <c r="P566" s="60"/>
      <c r="Q566" s="60"/>
      <c r="R566" s="60"/>
      <c r="S566" s="60"/>
      <c r="T566" s="60"/>
      <c r="U566" s="60"/>
      <c r="V566" s="60"/>
      <c r="W566" s="60"/>
    </row>
    <row r="567" spans="7:23" x14ac:dyDescent="0.25">
      <c r="G567" s="60"/>
      <c r="H567" s="60"/>
      <c r="I567" s="60"/>
      <c r="J567" s="60"/>
      <c r="K567" s="60"/>
      <c r="L567" s="60"/>
      <c r="M567" s="60"/>
      <c r="N567" s="60"/>
      <c r="O567" s="60"/>
      <c r="P567" s="60"/>
      <c r="Q567" s="60"/>
      <c r="R567" s="60"/>
      <c r="S567" s="60"/>
      <c r="T567" s="60"/>
      <c r="U567" s="60"/>
      <c r="V567" s="60"/>
      <c r="W567" s="60"/>
    </row>
    <row r="568" spans="7:23" x14ac:dyDescent="0.25">
      <c r="G568" s="60"/>
      <c r="H568" s="60"/>
      <c r="I568" s="60"/>
      <c r="J568" s="60"/>
      <c r="K568" s="60"/>
      <c r="L568" s="60"/>
      <c r="M568" s="60"/>
      <c r="N568" s="60"/>
      <c r="O568" s="60"/>
      <c r="P568" s="60"/>
      <c r="Q568" s="60"/>
      <c r="R568" s="60"/>
      <c r="S568" s="60"/>
      <c r="T568" s="60"/>
      <c r="U568" s="60"/>
      <c r="V568" s="60"/>
      <c r="W568" s="60"/>
    </row>
    <row r="569" spans="7:23" x14ac:dyDescent="0.25">
      <c r="G569" s="60"/>
      <c r="H569" s="60"/>
      <c r="I569" s="60"/>
      <c r="J569" s="60"/>
      <c r="K569" s="60"/>
      <c r="L569" s="60"/>
      <c r="M569" s="60"/>
      <c r="N569" s="60"/>
      <c r="O569" s="60"/>
      <c r="P569" s="60"/>
      <c r="Q569" s="60"/>
      <c r="R569" s="60"/>
      <c r="S569" s="60"/>
      <c r="T569" s="60"/>
      <c r="U569" s="60"/>
      <c r="V569" s="60"/>
      <c r="W569" s="60"/>
    </row>
    <row r="570" spans="7:23" x14ac:dyDescent="0.25">
      <c r="G570" s="60"/>
      <c r="H570" s="60"/>
      <c r="I570" s="60"/>
      <c r="J570" s="60"/>
      <c r="K570" s="60"/>
      <c r="L570" s="60"/>
      <c r="M570" s="60"/>
      <c r="N570" s="60"/>
      <c r="O570" s="60"/>
      <c r="P570" s="60"/>
      <c r="Q570" s="60"/>
      <c r="R570" s="60"/>
      <c r="S570" s="60"/>
      <c r="T570" s="60"/>
      <c r="U570" s="60"/>
      <c r="V570" s="60"/>
      <c r="W570" s="60"/>
    </row>
    <row r="571" spans="7:23" x14ac:dyDescent="0.25">
      <c r="G571" s="60"/>
      <c r="H571" s="60"/>
      <c r="I571" s="60"/>
      <c r="J571" s="60"/>
      <c r="K571" s="60"/>
      <c r="L571" s="60"/>
      <c r="M571" s="60"/>
      <c r="N571" s="60"/>
      <c r="O571" s="60"/>
      <c r="P571" s="60"/>
      <c r="Q571" s="60"/>
      <c r="R571" s="60"/>
      <c r="S571" s="60"/>
      <c r="T571" s="60"/>
      <c r="U571" s="60"/>
      <c r="V571" s="60"/>
      <c r="W571" s="60"/>
    </row>
    <row r="572" spans="7:23" x14ac:dyDescent="0.25">
      <c r="G572" s="60"/>
      <c r="H572" s="60"/>
      <c r="I572" s="60"/>
      <c r="J572" s="60"/>
      <c r="K572" s="60"/>
      <c r="L572" s="60"/>
      <c r="M572" s="60"/>
      <c r="N572" s="60"/>
      <c r="O572" s="60"/>
      <c r="P572" s="60"/>
      <c r="Q572" s="60"/>
      <c r="R572" s="60"/>
      <c r="S572" s="60"/>
      <c r="T572" s="60"/>
      <c r="U572" s="60"/>
      <c r="V572" s="60"/>
      <c r="W572" s="60"/>
    </row>
    <row r="573" spans="7:23" x14ac:dyDescent="0.25">
      <c r="G573" s="60"/>
      <c r="H573" s="60"/>
      <c r="I573" s="60"/>
      <c r="J573" s="60"/>
      <c r="K573" s="60"/>
      <c r="L573" s="60"/>
      <c r="M573" s="60"/>
      <c r="N573" s="60"/>
      <c r="O573" s="60"/>
      <c r="P573" s="60"/>
      <c r="Q573" s="60"/>
      <c r="R573" s="60"/>
      <c r="S573" s="60"/>
      <c r="T573" s="60"/>
      <c r="U573" s="60"/>
      <c r="V573" s="60"/>
      <c r="W573" s="60"/>
    </row>
    <row r="574" spans="7:23" x14ac:dyDescent="0.25">
      <c r="G574" s="60"/>
      <c r="H574" s="60"/>
      <c r="I574" s="60"/>
      <c r="J574" s="60"/>
      <c r="K574" s="60"/>
      <c r="L574" s="60"/>
      <c r="M574" s="60"/>
      <c r="N574" s="60"/>
      <c r="O574" s="60"/>
      <c r="P574" s="60"/>
      <c r="Q574" s="60"/>
      <c r="R574" s="60"/>
      <c r="S574" s="60"/>
      <c r="T574" s="60"/>
      <c r="U574" s="60"/>
      <c r="V574" s="60"/>
      <c r="W574" s="60"/>
    </row>
    <row r="575" spans="7:23" x14ac:dyDescent="0.25">
      <c r="G575" s="60"/>
      <c r="H575" s="60"/>
      <c r="I575" s="60"/>
      <c r="J575" s="60"/>
      <c r="K575" s="60"/>
      <c r="L575" s="60"/>
      <c r="M575" s="60"/>
      <c r="N575" s="60"/>
      <c r="O575" s="60"/>
      <c r="P575" s="60"/>
      <c r="Q575" s="60"/>
      <c r="R575" s="60"/>
      <c r="S575" s="60"/>
      <c r="T575" s="60"/>
      <c r="U575" s="60"/>
      <c r="V575" s="60"/>
      <c r="W575" s="60"/>
    </row>
    <row r="576" spans="7:23" x14ac:dyDescent="0.25">
      <c r="G576" s="60"/>
      <c r="H576" s="60"/>
      <c r="I576" s="60"/>
      <c r="J576" s="60"/>
      <c r="K576" s="60"/>
      <c r="L576" s="60"/>
      <c r="M576" s="60"/>
      <c r="N576" s="60"/>
      <c r="O576" s="60"/>
      <c r="P576" s="60"/>
      <c r="Q576" s="60"/>
      <c r="R576" s="60"/>
      <c r="S576" s="60"/>
      <c r="T576" s="60"/>
      <c r="U576" s="60"/>
      <c r="V576" s="60"/>
      <c r="W576" s="60"/>
    </row>
    <row r="577" spans="7:23" x14ac:dyDescent="0.25">
      <c r="G577" s="60"/>
      <c r="H577" s="60"/>
      <c r="I577" s="60"/>
      <c r="J577" s="60"/>
      <c r="K577" s="60"/>
      <c r="L577" s="60"/>
      <c r="M577" s="60"/>
      <c r="N577" s="60"/>
      <c r="O577" s="60"/>
      <c r="P577" s="60"/>
      <c r="Q577" s="60"/>
      <c r="R577" s="60"/>
      <c r="S577" s="60"/>
      <c r="T577" s="60"/>
      <c r="U577" s="60"/>
      <c r="V577" s="60"/>
      <c r="W577" s="60"/>
    </row>
    <row r="578" spans="7:23" x14ac:dyDescent="0.25">
      <c r="G578" s="60"/>
      <c r="H578" s="60"/>
      <c r="I578" s="60"/>
      <c r="J578" s="60"/>
      <c r="K578" s="60"/>
      <c r="L578" s="60"/>
      <c r="M578" s="60"/>
      <c r="N578" s="60"/>
      <c r="O578" s="60"/>
      <c r="P578" s="60"/>
      <c r="Q578" s="60"/>
      <c r="R578" s="60"/>
      <c r="S578" s="60"/>
      <c r="T578" s="60"/>
      <c r="U578" s="60"/>
      <c r="V578" s="60"/>
      <c r="W578" s="60"/>
    </row>
    <row r="579" spans="7:23" x14ac:dyDescent="0.25">
      <c r="G579" s="60"/>
      <c r="H579" s="60"/>
      <c r="I579" s="60"/>
      <c r="J579" s="60"/>
      <c r="K579" s="60"/>
      <c r="L579" s="60"/>
      <c r="M579" s="60"/>
      <c r="N579" s="60"/>
      <c r="O579" s="60"/>
      <c r="P579" s="60"/>
      <c r="Q579" s="60"/>
      <c r="R579" s="60"/>
      <c r="S579" s="60"/>
      <c r="T579" s="60"/>
      <c r="U579" s="60"/>
      <c r="V579" s="60"/>
      <c r="W579" s="60"/>
    </row>
    <row r="580" spans="7:23" x14ac:dyDescent="0.25">
      <c r="G580" s="60"/>
      <c r="H580" s="60"/>
      <c r="I580" s="60"/>
      <c r="J580" s="60"/>
      <c r="K580" s="60"/>
      <c r="L580" s="60"/>
      <c r="M580" s="60"/>
      <c r="N580" s="60"/>
      <c r="O580" s="60"/>
      <c r="P580" s="60"/>
      <c r="Q580" s="60"/>
      <c r="R580" s="60"/>
      <c r="S580" s="60"/>
      <c r="T580" s="60"/>
      <c r="U580" s="60"/>
      <c r="V580" s="60"/>
      <c r="W580" s="60"/>
    </row>
    <row r="581" spans="7:23" x14ac:dyDescent="0.25">
      <c r="G581" s="60"/>
      <c r="H581" s="60"/>
      <c r="I581" s="60"/>
      <c r="J581" s="60"/>
      <c r="K581" s="60"/>
      <c r="L581" s="60"/>
      <c r="M581" s="60"/>
      <c r="N581" s="60"/>
      <c r="O581" s="60"/>
      <c r="P581" s="60"/>
      <c r="Q581" s="60"/>
      <c r="R581" s="60"/>
      <c r="S581" s="60"/>
      <c r="T581" s="60"/>
      <c r="U581" s="60"/>
      <c r="V581" s="60"/>
      <c r="W581" s="60"/>
    </row>
    <row r="582" spans="7:23" x14ac:dyDescent="0.25">
      <c r="G582" s="60"/>
      <c r="H582" s="60"/>
      <c r="I582" s="60"/>
      <c r="J582" s="60"/>
      <c r="K582" s="60"/>
      <c r="L582" s="60"/>
      <c r="M582" s="60"/>
      <c r="N582" s="60"/>
      <c r="O582" s="60"/>
      <c r="P582" s="60"/>
      <c r="Q582" s="60"/>
      <c r="R582" s="60"/>
      <c r="S582" s="60"/>
      <c r="T582" s="60"/>
      <c r="U582" s="60"/>
      <c r="V582" s="60"/>
      <c r="W582" s="60"/>
    </row>
    <row r="583" spans="7:23" x14ac:dyDescent="0.25">
      <c r="G583" s="60"/>
      <c r="H583" s="60"/>
      <c r="I583" s="60"/>
      <c r="J583" s="60"/>
      <c r="K583" s="60"/>
      <c r="L583" s="60"/>
      <c r="M583" s="60"/>
      <c r="N583" s="60"/>
      <c r="O583" s="60"/>
      <c r="P583" s="60"/>
      <c r="Q583" s="60"/>
      <c r="R583" s="60"/>
      <c r="S583" s="60"/>
      <c r="T583" s="60"/>
      <c r="U583" s="60"/>
      <c r="V583" s="60"/>
      <c r="W583" s="60"/>
    </row>
    <row r="584" spans="7:23" x14ac:dyDescent="0.25">
      <c r="G584" s="60"/>
      <c r="H584" s="60"/>
      <c r="I584" s="60"/>
      <c r="J584" s="60"/>
      <c r="K584" s="60"/>
      <c r="L584" s="60"/>
      <c r="M584" s="60"/>
      <c r="N584" s="60"/>
      <c r="O584" s="60"/>
      <c r="P584" s="60"/>
      <c r="Q584" s="60"/>
      <c r="R584" s="60"/>
      <c r="S584" s="60"/>
      <c r="T584" s="60"/>
      <c r="U584" s="60"/>
      <c r="V584" s="60"/>
      <c r="W584" s="60"/>
    </row>
    <row r="585" spans="7:23" x14ac:dyDescent="0.25">
      <c r="G585" s="60"/>
      <c r="H585" s="60"/>
      <c r="I585" s="60"/>
      <c r="J585" s="60"/>
      <c r="K585" s="60"/>
      <c r="L585" s="60"/>
      <c r="M585" s="60"/>
      <c r="N585" s="60"/>
      <c r="O585" s="60"/>
      <c r="P585" s="60"/>
      <c r="Q585" s="60"/>
      <c r="R585" s="60"/>
      <c r="S585" s="60"/>
      <c r="T585" s="60"/>
      <c r="U585" s="60"/>
      <c r="V585" s="60"/>
      <c r="W585" s="60"/>
    </row>
    <row r="586" spans="7:23" x14ac:dyDescent="0.25">
      <c r="G586" s="60"/>
      <c r="H586" s="60"/>
      <c r="I586" s="60"/>
      <c r="J586" s="60"/>
      <c r="K586" s="60"/>
      <c r="L586" s="60"/>
      <c r="M586" s="60"/>
      <c r="N586" s="60"/>
      <c r="O586" s="60"/>
      <c r="P586" s="60"/>
      <c r="Q586" s="60"/>
      <c r="R586" s="60"/>
      <c r="S586" s="60"/>
      <c r="T586" s="60"/>
      <c r="U586" s="60"/>
      <c r="V586" s="60"/>
      <c r="W586" s="60"/>
    </row>
    <row r="587" spans="7:23" x14ac:dyDescent="0.25">
      <c r="G587" s="60"/>
      <c r="H587" s="60"/>
      <c r="I587" s="60"/>
      <c r="J587" s="60"/>
      <c r="K587" s="60"/>
      <c r="L587" s="60"/>
      <c r="M587" s="60"/>
      <c r="N587" s="60"/>
      <c r="O587" s="60"/>
      <c r="P587" s="60"/>
      <c r="Q587" s="60"/>
      <c r="R587" s="60"/>
      <c r="S587" s="60"/>
      <c r="T587" s="60"/>
      <c r="U587" s="60"/>
      <c r="V587" s="60"/>
      <c r="W587" s="60"/>
    </row>
    <row r="588" spans="7:23" x14ac:dyDescent="0.25">
      <c r="G588" s="60"/>
      <c r="H588" s="60"/>
      <c r="I588" s="60"/>
      <c r="J588" s="60"/>
      <c r="K588" s="60"/>
      <c r="L588" s="60"/>
      <c r="M588" s="60"/>
      <c r="N588" s="60"/>
      <c r="O588" s="60"/>
      <c r="P588" s="60"/>
      <c r="Q588" s="60"/>
      <c r="R588" s="60"/>
      <c r="S588" s="60"/>
      <c r="T588" s="60"/>
      <c r="U588" s="60"/>
      <c r="V588" s="60"/>
      <c r="W588" s="60"/>
    </row>
    <row r="589" spans="7:23" x14ac:dyDescent="0.25">
      <c r="G589" s="60"/>
      <c r="H589" s="60"/>
      <c r="I589" s="60"/>
      <c r="J589" s="60"/>
      <c r="K589" s="60"/>
      <c r="L589" s="60"/>
      <c r="M589" s="60"/>
      <c r="N589" s="60"/>
      <c r="O589" s="60"/>
      <c r="P589" s="60"/>
      <c r="Q589" s="60"/>
      <c r="R589" s="60"/>
      <c r="S589" s="60"/>
      <c r="T589" s="60"/>
      <c r="U589" s="60"/>
      <c r="V589" s="60"/>
      <c r="W589" s="60"/>
    </row>
    <row r="590" spans="7:23" x14ac:dyDescent="0.25">
      <c r="G590" s="60"/>
      <c r="H590" s="60"/>
      <c r="I590" s="60"/>
      <c r="J590" s="60"/>
      <c r="K590" s="60"/>
      <c r="L590" s="60"/>
      <c r="M590" s="60"/>
      <c r="N590" s="60"/>
      <c r="O590" s="60"/>
      <c r="P590" s="60"/>
      <c r="Q590" s="60"/>
      <c r="R590" s="60"/>
      <c r="S590" s="60"/>
      <c r="T590" s="60"/>
      <c r="U590" s="60"/>
      <c r="V590" s="60"/>
      <c r="W590" s="60"/>
    </row>
    <row r="591" spans="7:23" x14ac:dyDescent="0.25">
      <c r="G591" s="60"/>
      <c r="H591" s="60"/>
      <c r="I591" s="60"/>
      <c r="J591" s="60"/>
      <c r="K591" s="60"/>
      <c r="L591" s="60"/>
      <c r="M591" s="60"/>
      <c r="N591" s="60"/>
      <c r="O591" s="60"/>
      <c r="P591" s="60"/>
      <c r="Q591" s="60"/>
      <c r="R591" s="60"/>
      <c r="S591" s="60"/>
      <c r="T591" s="60"/>
      <c r="U591" s="60"/>
      <c r="V591" s="60"/>
      <c r="W591" s="60"/>
    </row>
    <row r="592" spans="7:23" x14ac:dyDescent="0.25">
      <c r="G592" s="60"/>
      <c r="H592" s="60"/>
      <c r="I592" s="60"/>
      <c r="J592" s="60"/>
      <c r="K592" s="60"/>
      <c r="L592" s="60"/>
      <c r="M592" s="60"/>
      <c r="N592" s="60"/>
      <c r="O592" s="60"/>
      <c r="P592" s="60"/>
      <c r="Q592" s="60"/>
      <c r="R592" s="60"/>
      <c r="S592" s="60"/>
      <c r="T592" s="60"/>
      <c r="U592" s="60"/>
      <c r="V592" s="60"/>
      <c r="W592" s="60"/>
    </row>
    <row r="593" spans="7:23" x14ac:dyDescent="0.25">
      <c r="G593" s="60"/>
      <c r="H593" s="60"/>
      <c r="I593" s="60"/>
      <c r="J593" s="60"/>
      <c r="K593" s="60"/>
      <c r="L593" s="60"/>
      <c r="M593" s="60"/>
      <c r="N593" s="60"/>
      <c r="O593" s="60"/>
      <c r="P593" s="60"/>
      <c r="Q593" s="60"/>
      <c r="R593" s="60"/>
      <c r="S593" s="60"/>
      <c r="T593" s="60"/>
      <c r="U593" s="60"/>
      <c r="V593" s="60"/>
      <c r="W593" s="60"/>
    </row>
    <row r="594" spans="7:23" x14ac:dyDescent="0.25">
      <c r="G594" s="60"/>
      <c r="H594" s="60"/>
      <c r="I594" s="60"/>
      <c r="J594" s="60"/>
      <c r="K594" s="60"/>
      <c r="L594" s="60"/>
      <c r="M594" s="60"/>
      <c r="N594" s="60"/>
      <c r="O594" s="60"/>
      <c r="P594" s="60"/>
      <c r="Q594" s="60"/>
      <c r="R594" s="60"/>
      <c r="S594" s="60"/>
      <c r="T594" s="60"/>
      <c r="U594" s="60"/>
      <c r="V594" s="60"/>
      <c r="W594" s="60"/>
    </row>
    <row r="595" spans="7:23" x14ac:dyDescent="0.25">
      <c r="G595" s="60"/>
      <c r="H595" s="60"/>
      <c r="I595" s="60"/>
      <c r="J595" s="60"/>
      <c r="K595" s="60"/>
      <c r="L595" s="60"/>
      <c r="M595" s="60"/>
      <c r="N595" s="60"/>
      <c r="O595" s="60"/>
      <c r="P595" s="60"/>
      <c r="Q595" s="60"/>
      <c r="R595" s="60"/>
      <c r="S595" s="60"/>
      <c r="T595" s="60"/>
      <c r="U595" s="60"/>
      <c r="V595" s="60"/>
      <c r="W595" s="60"/>
    </row>
    <row r="596" spans="7:23" x14ac:dyDescent="0.25">
      <c r="G596" s="60"/>
      <c r="H596" s="60"/>
      <c r="I596" s="60"/>
      <c r="J596" s="60"/>
      <c r="K596" s="60"/>
      <c r="L596" s="60"/>
      <c r="M596" s="60"/>
      <c r="N596" s="60"/>
      <c r="O596" s="60"/>
      <c r="P596" s="60"/>
      <c r="Q596" s="60"/>
      <c r="R596" s="60"/>
      <c r="S596" s="60"/>
      <c r="T596" s="60"/>
      <c r="U596" s="60"/>
      <c r="V596" s="60"/>
      <c r="W596" s="60"/>
    </row>
    <row r="597" spans="7:23" x14ac:dyDescent="0.25">
      <c r="G597" s="60"/>
      <c r="H597" s="60"/>
      <c r="I597" s="60"/>
      <c r="J597" s="60"/>
      <c r="K597" s="60"/>
      <c r="L597" s="60"/>
      <c r="M597" s="60"/>
      <c r="N597" s="60"/>
      <c r="O597" s="60"/>
      <c r="P597" s="60"/>
      <c r="Q597" s="60"/>
      <c r="R597" s="60"/>
      <c r="S597" s="60"/>
      <c r="T597" s="60"/>
      <c r="U597" s="60"/>
      <c r="V597" s="60"/>
      <c r="W597" s="60"/>
    </row>
    <row r="598" spans="7:23" x14ac:dyDescent="0.25">
      <c r="G598" s="60"/>
      <c r="H598" s="60"/>
      <c r="I598" s="60"/>
      <c r="J598" s="60"/>
      <c r="K598" s="60"/>
      <c r="L598" s="60"/>
      <c r="M598" s="60"/>
      <c r="N598" s="60"/>
      <c r="O598" s="60"/>
      <c r="P598" s="60"/>
      <c r="Q598" s="60"/>
      <c r="R598" s="60"/>
      <c r="S598" s="60"/>
      <c r="T598" s="60"/>
      <c r="U598" s="60"/>
      <c r="V598" s="60"/>
      <c r="W598" s="60"/>
    </row>
    <row r="599" spans="7:23" x14ac:dyDescent="0.25">
      <c r="G599" s="60"/>
      <c r="H599" s="60"/>
      <c r="I599" s="60"/>
      <c r="J599" s="60"/>
      <c r="K599" s="60"/>
      <c r="L599" s="60"/>
      <c r="M599" s="60"/>
      <c r="N599" s="60"/>
      <c r="O599" s="60"/>
      <c r="P599" s="60"/>
      <c r="Q599" s="60"/>
      <c r="R599" s="60"/>
      <c r="S599" s="60"/>
      <c r="T599" s="60"/>
      <c r="U599" s="60"/>
      <c r="V599" s="60"/>
      <c r="W599" s="60"/>
    </row>
    <row r="600" spans="7:23" x14ac:dyDescent="0.25">
      <c r="G600" s="60"/>
      <c r="H600" s="60"/>
      <c r="I600" s="60"/>
      <c r="J600" s="60"/>
      <c r="K600" s="60"/>
      <c r="L600" s="60"/>
      <c r="M600" s="60"/>
      <c r="N600" s="60"/>
      <c r="O600" s="60"/>
      <c r="P600" s="60"/>
      <c r="Q600" s="60"/>
      <c r="R600" s="60"/>
      <c r="S600" s="60"/>
      <c r="T600" s="60"/>
      <c r="U600" s="60"/>
      <c r="V600" s="60"/>
      <c r="W600" s="60"/>
    </row>
    <row r="601" spans="7:23" x14ac:dyDescent="0.25">
      <c r="G601" s="60"/>
      <c r="H601" s="60"/>
      <c r="I601" s="60"/>
      <c r="J601" s="60"/>
      <c r="K601" s="60"/>
      <c r="L601" s="60"/>
      <c r="M601" s="60"/>
      <c r="N601" s="60"/>
      <c r="O601" s="60"/>
      <c r="P601" s="60"/>
      <c r="Q601" s="60"/>
      <c r="R601" s="60"/>
      <c r="S601" s="60"/>
      <c r="T601" s="60"/>
      <c r="U601" s="60"/>
      <c r="V601" s="60"/>
      <c r="W601" s="60"/>
    </row>
    <row r="602" spans="7:23" x14ac:dyDescent="0.25">
      <c r="G602" s="60"/>
      <c r="H602" s="60"/>
      <c r="I602" s="60"/>
      <c r="J602" s="60"/>
      <c r="K602" s="60"/>
      <c r="L602" s="60"/>
      <c r="M602" s="60"/>
      <c r="N602" s="60"/>
      <c r="O602" s="60"/>
      <c r="P602" s="60"/>
      <c r="Q602" s="60"/>
      <c r="R602" s="60"/>
      <c r="S602" s="60"/>
      <c r="T602" s="60"/>
      <c r="U602" s="60"/>
      <c r="V602" s="60"/>
      <c r="W602" s="60"/>
    </row>
    <row r="603" spans="7:23" x14ac:dyDescent="0.25">
      <c r="G603" s="60"/>
      <c r="H603" s="60"/>
      <c r="I603" s="60"/>
      <c r="J603" s="60"/>
      <c r="K603" s="60"/>
      <c r="L603" s="60"/>
      <c r="M603" s="60"/>
      <c r="N603" s="60"/>
      <c r="O603" s="60"/>
      <c r="P603" s="60"/>
      <c r="Q603" s="60"/>
      <c r="R603" s="60"/>
      <c r="S603" s="60"/>
      <c r="T603" s="60"/>
      <c r="U603" s="60"/>
      <c r="V603" s="60"/>
      <c r="W603" s="60"/>
    </row>
    <row r="604" spans="7:23" x14ac:dyDescent="0.25">
      <c r="G604" s="60"/>
      <c r="H604" s="60"/>
      <c r="I604" s="60"/>
      <c r="J604" s="60"/>
      <c r="K604" s="60"/>
      <c r="L604" s="60"/>
      <c r="M604" s="60"/>
      <c r="N604" s="60"/>
      <c r="O604" s="60"/>
      <c r="P604" s="60"/>
      <c r="Q604" s="60"/>
      <c r="R604" s="60"/>
      <c r="S604" s="60"/>
      <c r="T604" s="60"/>
      <c r="U604" s="60"/>
      <c r="V604" s="60"/>
      <c r="W604" s="60"/>
    </row>
    <row r="605" spans="7:23" x14ac:dyDescent="0.25">
      <c r="G605" s="60"/>
      <c r="H605" s="60"/>
      <c r="I605" s="60"/>
      <c r="J605" s="60"/>
      <c r="K605" s="60"/>
      <c r="L605" s="60"/>
      <c r="M605" s="60"/>
      <c r="N605" s="60"/>
      <c r="O605" s="60"/>
      <c r="P605" s="60"/>
      <c r="Q605" s="60"/>
      <c r="R605" s="60"/>
      <c r="S605" s="60"/>
      <c r="T605" s="60"/>
      <c r="U605" s="60"/>
      <c r="V605" s="60"/>
      <c r="W605" s="60"/>
    </row>
    <row r="606" spans="7:23" x14ac:dyDescent="0.25">
      <c r="G606" s="60"/>
      <c r="H606" s="60"/>
      <c r="I606" s="60"/>
      <c r="J606" s="60"/>
      <c r="K606" s="60"/>
      <c r="L606" s="60"/>
      <c r="M606" s="60"/>
      <c r="N606" s="60"/>
      <c r="O606" s="60"/>
      <c r="P606" s="60"/>
      <c r="Q606" s="60"/>
      <c r="R606" s="60"/>
      <c r="S606" s="60"/>
      <c r="T606" s="60"/>
      <c r="U606" s="60"/>
      <c r="V606" s="60"/>
      <c r="W606" s="60"/>
    </row>
    <row r="607" spans="7:23" x14ac:dyDescent="0.25">
      <c r="G607" s="60"/>
      <c r="H607" s="60"/>
      <c r="I607" s="60"/>
      <c r="J607" s="60"/>
      <c r="K607" s="60"/>
      <c r="L607" s="60"/>
      <c r="M607" s="60"/>
      <c r="N607" s="60"/>
      <c r="O607" s="60"/>
      <c r="P607" s="60"/>
      <c r="Q607" s="60"/>
      <c r="R607" s="60"/>
      <c r="S607" s="60"/>
      <c r="T607" s="60"/>
      <c r="U607" s="60"/>
      <c r="V607" s="60"/>
      <c r="W607" s="60"/>
    </row>
    <row r="608" spans="7:23" x14ac:dyDescent="0.25">
      <c r="G608" s="60"/>
      <c r="H608" s="60"/>
      <c r="I608" s="60"/>
      <c r="J608" s="60"/>
      <c r="K608" s="60"/>
      <c r="L608" s="60"/>
      <c r="M608" s="60"/>
      <c r="N608" s="60"/>
      <c r="O608" s="60"/>
      <c r="P608" s="60"/>
      <c r="Q608" s="60"/>
      <c r="R608" s="60"/>
      <c r="S608" s="60"/>
      <c r="T608" s="60"/>
      <c r="U608" s="60"/>
      <c r="V608" s="60"/>
      <c r="W608" s="60"/>
    </row>
    <row r="609" spans="7:23" x14ac:dyDescent="0.25">
      <c r="G609" s="60"/>
      <c r="H609" s="60"/>
      <c r="I609" s="60"/>
      <c r="J609" s="60"/>
      <c r="K609" s="60"/>
      <c r="L609" s="60"/>
      <c r="M609" s="60"/>
      <c r="N609" s="60"/>
      <c r="O609" s="60"/>
      <c r="P609" s="60"/>
      <c r="Q609" s="60"/>
      <c r="R609" s="60"/>
      <c r="S609" s="60"/>
      <c r="T609" s="60"/>
      <c r="U609" s="60"/>
      <c r="V609" s="60"/>
      <c r="W609" s="60"/>
    </row>
    <row r="610" spans="7:23" x14ac:dyDescent="0.25">
      <c r="G610" s="60"/>
      <c r="H610" s="60"/>
      <c r="I610" s="60"/>
      <c r="J610" s="60"/>
      <c r="K610" s="60"/>
      <c r="L610" s="60"/>
      <c r="M610" s="60"/>
      <c r="N610" s="60"/>
      <c r="O610" s="60"/>
      <c r="P610" s="60"/>
      <c r="Q610" s="60"/>
      <c r="R610" s="60"/>
      <c r="S610" s="60"/>
      <c r="T610" s="60"/>
      <c r="U610" s="60"/>
      <c r="V610" s="60"/>
      <c r="W610" s="60"/>
    </row>
    <row r="611" spans="7:23" x14ac:dyDescent="0.25">
      <c r="G611" s="60"/>
      <c r="H611" s="60"/>
      <c r="I611" s="60"/>
      <c r="J611" s="60"/>
      <c r="K611" s="60"/>
      <c r="L611" s="60"/>
      <c r="M611" s="60"/>
      <c r="N611" s="60"/>
      <c r="O611" s="60"/>
      <c r="P611" s="60"/>
      <c r="Q611" s="60"/>
      <c r="R611" s="60"/>
      <c r="S611" s="60"/>
      <c r="T611" s="60"/>
      <c r="U611" s="60"/>
      <c r="V611" s="60"/>
      <c r="W611" s="60"/>
    </row>
    <row r="612" spans="7:23" x14ac:dyDescent="0.25">
      <c r="G612" s="60"/>
      <c r="H612" s="60"/>
      <c r="I612" s="60"/>
      <c r="J612" s="60"/>
      <c r="K612" s="60"/>
      <c r="L612" s="60"/>
      <c r="M612" s="60"/>
      <c r="N612" s="60"/>
      <c r="O612" s="60"/>
      <c r="P612" s="60"/>
      <c r="Q612" s="60"/>
      <c r="R612" s="60"/>
      <c r="S612" s="60"/>
      <c r="T612" s="60"/>
      <c r="U612" s="60"/>
      <c r="V612" s="60"/>
      <c r="W612" s="60"/>
    </row>
    <row r="613" spans="7:23" x14ac:dyDescent="0.25">
      <c r="G613" s="60"/>
      <c r="H613" s="60"/>
      <c r="I613" s="60"/>
      <c r="J613" s="60"/>
      <c r="K613" s="60"/>
      <c r="L613" s="60"/>
      <c r="M613" s="60"/>
      <c r="N613" s="60"/>
      <c r="O613" s="60"/>
      <c r="P613" s="60"/>
      <c r="Q613" s="60"/>
      <c r="R613" s="60"/>
      <c r="S613" s="60"/>
      <c r="T613" s="60"/>
      <c r="U613" s="60"/>
      <c r="V613" s="60"/>
      <c r="W613" s="60"/>
    </row>
    <row r="614" spans="7:23" x14ac:dyDescent="0.25">
      <c r="G614" s="60"/>
      <c r="H614" s="60"/>
      <c r="I614" s="60"/>
      <c r="J614" s="60"/>
      <c r="K614" s="60"/>
      <c r="L614" s="60"/>
      <c r="M614" s="60"/>
      <c r="N614" s="60"/>
      <c r="O614" s="60"/>
      <c r="P614" s="60"/>
      <c r="Q614" s="60"/>
      <c r="R614" s="60"/>
      <c r="S614" s="60"/>
      <c r="T614" s="60"/>
      <c r="U614" s="60"/>
      <c r="V614" s="60"/>
      <c r="W614" s="60"/>
    </row>
    <row r="615" spans="7:23" x14ac:dyDescent="0.25">
      <c r="G615" s="60"/>
      <c r="H615" s="60"/>
      <c r="I615" s="60"/>
      <c r="J615" s="60"/>
      <c r="K615" s="60"/>
      <c r="L615" s="60"/>
      <c r="M615" s="60"/>
      <c r="N615" s="60"/>
      <c r="O615" s="60"/>
      <c r="P615" s="60"/>
      <c r="Q615" s="60"/>
      <c r="R615" s="60"/>
      <c r="S615" s="60"/>
      <c r="T615" s="60"/>
      <c r="U615" s="60"/>
      <c r="V615" s="60"/>
      <c r="W615" s="60"/>
    </row>
    <row r="616" spans="7:23" x14ac:dyDescent="0.25">
      <c r="G616" s="60"/>
      <c r="H616" s="60"/>
      <c r="I616" s="60"/>
      <c r="J616" s="60"/>
      <c r="K616" s="60"/>
      <c r="L616" s="60"/>
      <c r="M616" s="60"/>
      <c r="N616" s="60"/>
      <c r="O616" s="60"/>
      <c r="P616" s="60"/>
      <c r="Q616" s="60"/>
      <c r="R616" s="60"/>
      <c r="S616" s="60"/>
      <c r="T616" s="60"/>
      <c r="U616" s="60"/>
      <c r="V616" s="60"/>
      <c r="W616" s="60"/>
    </row>
    <row r="617" spans="7:23" x14ac:dyDescent="0.25">
      <c r="G617" s="60"/>
      <c r="H617" s="60"/>
      <c r="I617" s="60"/>
      <c r="J617" s="60"/>
      <c r="K617" s="60"/>
      <c r="L617" s="60"/>
      <c r="M617" s="60"/>
      <c r="N617" s="60"/>
      <c r="O617" s="60"/>
      <c r="P617" s="60"/>
      <c r="Q617" s="60"/>
      <c r="R617" s="60"/>
      <c r="S617" s="60"/>
      <c r="T617" s="60"/>
      <c r="U617" s="60"/>
      <c r="V617" s="60"/>
      <c r="W617" s="60"/>
    </row>
    <row r="618" spans="7:23" x14ac:dyDescent="0.25">
      <c r="G618" s="60"/>
      <c r="H618" s="60"/>
      <c r="I618" s="60"/>
      <c r="J618" s="60"/>
      <c r="K618" s="60"/>
      <c r="L618" s="60"/>
      <c r="M618" s="60"/>
      <c r="N618" s="60"/>
      <c r="O618" s="60"/>
      <c r="P618" s="60"/>
      <c r="Q618" s="60"/>
      <c r="R618" s="60"/>
      <c r="S618" s="60"/>
      <c r="T618" s="60"/>
      <c r="U618" s="60"/>
      <c r="V618" s="60"/>
      <c r="W618" s="60"/>
    </row>
    <row r="619" spans="7:23" x14ac:dyDescent="0.25">
      <c r="G619" s="60"/>
      <c r="H619" s="60"/>
      <c r="I619" s="60"/>
      <c r="J619" s="60"/>
      <c r="K619" s="60"/>
      <c r="L619" s="60"/>
      <c r="M619" s="60"/>
      <c r="N619" s="60"/>
      <c r="O619" s="60"/>
      <c r="P619" s="60"/>
      <c r="Q619" s="60"/>
      <c r="R619" s="60"/>
      <c r="S619" s="60"/>
      <c r="T619" s="60"/>
      <c r="U619" s="60"/>
      <c r="V619" s="60"/>
      <c r="W619" s="60"/>
    </row>
    <row r="620" spans="7:23" x14ac:dyDescent="0.25">
      <c r="G620" s="60"/>
      <c r="H620" s="60"/>
      <c r="I620" s="60"/>
      <c r="J620" s="60"/>
      <c r="K620" s="60"/>
      <c r="L620" s="60"/>
      <c r="M620" s="60"/>
      <c r="N620" s="60"/>
      <c r="O620" s="60"/>
      <c r="P620" s="60"/>
      <c r="Q620" s="60"/>
      <c r="R620" s="60"/>
      <c r="S620" s="60"/>
      <c r="T620" s="60"/>
      <c r="U620" s="60"/>
      <c r="V620" s="60"/>
      <c r="W620" s="60"/>
    </row>
    <row r="621" spans="7:23" x14ac:dyDescent="0.25">
      <c r="G621" s="60"/>
      <c r="H621" s="60"/>
      <c r="I621" s="60"/>
      <c r="J621" s="60"/>
      <c r="K621" s="60"/>
      <c r="L621" s="60"/>
      <c r="M621" s="60"/>
      <c r="N621" s="60"/>
      <c r="O621" s="60"/>
      <c r="P621" s="60"/>
      <c r="Q621" s="60"/>
      <c r="R621" s="60"/>
      <c r="S621" s="60"/>
      <c r="T621" s="60"/>
      <c r="U621" s="60"/>
      <c r="V621" s="60"/>
      <c r="W621" s="60"/>
    </row>
    <row r="622" spans="7:23" x14ac:dyDescent="0.25">
      <c r="G622" s="60"/>
      <c r="H622" s="60"/>
      <c r="I622" s="60"/>
      <c r="J622" s="60"/>
      <c r="K622" s="60"/>
      <c r="L622" s="60"/>
      <c r="M622" s="60"/>
      <c r="N622" s="60"/>
      <c r="O622" s="60"/>
      <c r="P622" s="60"/>
      <c r="Q622" s="60"/>
      <c r="R622" s="60"/>
      <c r="S622" s="60"/>
      <c r="T622" s="60"/>
      <c r="U622" s="60"/>
      <c r="V622" s="60"/>
      <c r="W622" s="60"/>
    </row>
    <row r="623" spans="7:23" x14ac:dyDescent="0.25">
      <c r="G623" s="60"/>
      <c r="H623" s="60"/>
      <c r="I623" s="60"/>
      <c r="J623" s="60"/>
      <c r="K623" s="60"/>
      <c r="L623" s="60"/>
      <c r="M623" s="60"/>
      <c r="N623" s="60"/>
      <c r="O623" s="60"/>
      <c r="P623" s="60"/>
      <c r="Q623" s="60"/>
      <c r="R623" s="60"/>
      <c r="S623" s="60"/>
      <c r="T623" s="60"/>
      <c r="U623" s="60"/>
      <c r="V623" s="60"/>
      <c r="W623" s="60"/>
    </row>
    <row r="624" spans="7:23" x14ac:dyDescent="0.25">
      <c r="G624" s="60"/>
      <c r="H624" s="60"/>
      <c r="I624" s="60"/>
      <c r="J624" s="60"/>
      <c r="K624" s="60"/>
      <c r="L624" s="60"/>
      <c r="M624" s="60"/>
      <c r="N624" s="60"/>
      <c r="O624" s="60"/>
      <c r="P624" s="60"/>
      <c r="Q624" s="60"/>
      <c r="R624" s="60"/>
      <c r="S624" s="60"/>
      <c r="T624" s="60"/>
      <c r="U624" s="60"/>
      <c r="V624" s="60"/>
      <c r="W624" s="60"/>
    </row>
    <row r="625" spans="7:23" x14ac:dyDescent="0.25">
      <c r="G625" s="60"/>
      <c r="H625" s="60"/>
      <c r="I625" s="60"/>
      <c r="J625" s="60"/>
      <c r="K625" s="60"/>
      <c r="L625" s="60"/>
      <c r="M625" s="60"/>
      <c r="N625" s="60"/>
      <c r="O625" s="60"/>
      <c r="P625" s="60"/>
      <c r="Q625" s="60"/>
      <c r="R625" s="60"/>
      <c r="S625" s="60"/>
      <c r="T625" s="60"/>
      <c r="U625" s="60"/>
      <c r="V625" s="60"/>
      <c r="W625" s="60"/>
    </row>
    <row r="626" spans="7:23" x14ac:dyDescent="0.25">
      <c r="G626" s="60"/>
      <c r="H626" s="60"/>
      <c r="I626" s="60"/>
      <c r="J626" s="60"/>
      <c r="K626" s="60"/>
      <c r="L626" s="60"/>
      <c r="M626" s="60"/>
      <c r="N626" s="60"/>
      <c r="O626" s="60"/>
      <c r="P626" s="60"/>
      <c r="Q626" s="60"/>
      <c r="R626" s="60"/>
      <c r="S626" s="60"/>
      <c r="T626" s="60"/>
      <c r="U626" s="60"/>
      <c r="V626" s="60"/>
      <c r="W626" s="60"/>
    </row>
    <row r="627" spans="7:23" x14ac:dyDescent="0.25">
      <c r="G627" s="60"/>
      <c r="H627" s="60"/>
      <c r="I627" s="60"/>
      <c r="J627" s="60"/>
      <c r="K627" s="60"/>
      <c r="L627" s="60"/>
      <c r="M627" s="60"/>
      <c r="N627" s="60"/>
      <c r="O627" s="60"/>
      <c r="P627" s="60"/>
      <c r="Q627" s="60"/>
      <c r="R627" s="60"/>
      <c r="S627" s="60"/>
      <c r="T627" s="60"/>
      <c r="U627" s="60"/>
      <c r="V627" s="60"/>
      <c r="W627" s="60"/>
    </row>
    <row r="628" spans="7:23" x14ac:dyDescent="0.25">
      <c r="G628" s="60"/>
      <c r="H628" s="60"/>
      <c r="I628" s="60"/>
      <c r="J628" s="60"/>
      <c r="K628" s="60"/>
      <c r="L628" s="60"/>
      <c r="M628" s="60"/>
      <c r="N628" s="60"/>
      <c r="O628" s="60"/>
      <c r="P628" s="60"/>
      <c r="Q628" s="60"/>
      <c r="R628" s="60"/>
      <c r="S628" s="60"/>
      <c r="T628" s="60"/>
      <c r="U628" s="60"/>
      <c r="V628" s="60"/>
      <c r="W628" s="60"/>
    </row>
    <row r="629" spans="7:23" x14ac:dyDescent="0.25">
      <c r="G629" s="60"/>
      <c r="H629" s="60"/>
      <c r="I629" s="60"/>
      <c r="J629" s="60"/>
      <c r="K629" s="60"/>
      <c r="L629" s="60"/>
      <c r="M629" s="60"/>
      <c r="N629" s="60"/>
      <c r="O629" s="60"/>
      <c r="P629" s="60"/>
      <c r="Q629" s="60"/>
      <c r="R629" s="60"/>
      <c r="S629" s="60"/>
      <c r="T629" s="60"/>
      <c r="U629" s="60"/>
      <c r="V629" s="60"/>
      <c r="W629" s="60"/>
    </row>
    <row r="630" spans="7:23" x14ac:dyDescent="0.25">
      <c r="G630" s="60"/>
      <c r="H630" s="60"/>
      <c r="I630" s="60"/>
      <c r="J630" s="60"/>
      <c r="K630" s="60"/>
      <c r="L630" s="60"/>
      <c r="M630" s="60"/>
      <c r="N630" s="60"/>
      <c r="O630" s="60"/>
      <c r="P630" s="60"/>
      <c r="Q630" s="60"/>
      <c r="R630" s="60"/>
      <c r="S630" s="60"/>
      <c r="T630" s="60"/>
      <c r="U630" s="60"/>
      <c r="V630" s="60"/>
      <c r="W630" s="60"/>
    </row>
    <row r="631" spans="7:23" x14ac:dyDescent="0.25">
      <c r="G631" s="60"/>
      <c r="H631" s="60"/>
      <c r="I631" s="60"/>
      <c r="J631" s="60"/>
      <c r="K631" s="60"/>
      <c r="L631" s="60"/>
      <c r="M631" s="60"/>
      <c r="N631" s="60"/>
      <c r="O631" s="60"/>
      <c r="P631" s="60"/>
      <c r="Q631" s="60"/>
      <c r="R631" s="60"/>
      <c r="S631" s="60"/>
      <c r="T631" s="60"/>
      <c r="U631" s="60"/>
      <c r="V631" s="60"/>
      <c r="W631" s="60"/>
    </row>
    <row r="632" spans="7:23" x14ac:dyDescent="0.25">
      <c r="G632" s="60"/>
      <c r="H632" s="60"/>
      <c r="I632" s="60"/>
      <c r="J632" s="60"/>
      <c r="K632" s="60"/>
      <c r="L632" s="60"/>
      <c r="M632" s="60"/>
      <c r="N632" s="60"/>
      <c r="O632" s="60"/>
      <c r="P632" s="60"/>
      <c r="Q632" s="60"/>
      <c r="R632" s="60"/>
      <c r="S632" s="60"/>
      <c r="T632" s="60"/>
      <c r="U632" s="60"/>
      <c r="V632" s="60"/>
      <c r="W632" s="60"/>
    </row>
    <row r="633" spans="7:23" x14ac:dyDescent="0.25">
      <c r="G633" s="60"/>
      <c r="H633" s="60"/>
      <c r="I633" s="60"/>
      <c r="J633" s="60"/>
      <c r="K633" s="60"/>
      <c r="L633" s="60"/>
      <c r="M633" s="60"/>
      <c r="N633" s="60"/>
      <c r="O633" s="60"/>
      <c r="P633" s="60"/>
      <c r="Q633" s="60"/>
      <c r="R633" s="60"/>
      <c r="S633" s="60"/>
      <c r="T633" s="60"/>
      <c r="U633" s="60"/>
      <c r="V633" s="60"/>
      <c r="W633" s="60"/>
    </row>
    <row r="634" spans="7:23" x14ac:dyDescent="0.25">
      <c r="G634" s="60"/>
      <c r="H634" s="60"/>
      <c r="I634" s="60"/>
      <c r="J634" s="60"/>
      <c r="K634" s="60"/>
      <c r="L634" s="60"/>
      <c r="M634" s="60"/>
      <c r="N634" s="60"/>
      <c r="O634" s="60"/>
      <c r="P634" s="60"/>
      <c r="Q634" s="60"/>
      <c r="R634" s="60"/>
      <c r="S634" s="60"/>
      <c r="T634" s="60"/>
      <c r="U634" s="60"/>
      <c r="V634" s="60"/>
      <c r="W634" s="60"/>
    </row>
    <row r="635" spans="7:23" x14ac:dyDescent="0.25">
      <c r="G635" s="60"/>
      <c r="H635" s="60"/>
      <c r="I635" s="60"/>
      <c r="J635" s="60"/>
      <c r="K635" s="60"/>
      <c r="L635" s="60"/>
      <c r="M635" s="60"/>
      <c r="N635" s="60"/>
      <c r="O635" s="60"/>
      <c r="P635" s="60"/>
      <c r="Q635" s="60"/>
      <c r="R635" s="60"/>
      <c r="S635" s="60"/>
      <c r="T635" s="60"/>
      <c r="U635" s="60"/>
      <c r="V635" s="60"/>
      <c r="W635" s="60"/>
    </row>
    <row r="636" spans="7:23" x14ac:dyDescent="0.25">
      <c r="G636" s="60"/>
      <c r="H636" s="60"/>
      <c r="I636" s="60"/>
      <c r="J636" s="60"/>
      <c r="K636" s="60"/>
      <c r="L636" s="60"/>
      <c r="M636" s="60"/>
      <c r="N636" s="60"/>
      <c r="O636" s="60"/>
      <c r="P636" s="60"/>
      <c r="Q636" s="60"/>
      <c r="R636" s="60"/>
      <c r="S636" s="60"/>
      <c r="T636" s="60"/>
      <c r="U636" s="60"/>
      <c r="V636" s="60"/>
      <c r="W636" s="60"/>
    </row>
    <row r="637" spans="7:23" x14ac:dyDescent="0.25">
      <c r="G637" s="60"/>
      <c r="H637" s="60"/>
      <c r="I637" s="60"/>
      <c r="J637" s="60"/>
      <c r="K637" s="60"/>
      <c r="L637" s="60"/>
      <c r="M637" s="60"/>
      <c r="N637" s="60"/>
      <c r="O637" s="60"/>
      <c r="P637" s="60"/>
      <c r="Q637" s="60"/>
      <c r="R637" s="60"/>
      <c r="S637" s="60"/>
      <c r="T637" s="60"/>
      <c r="U637" s="60"/>
      <c r="V637" s="60"/>
      <c r="W637" s="60"/>
    </row>
    <row r="638" spans="7:23" x14ac:dyDescent="0.25">
      <c r="G638" s="60"/>
      <c r="H638" s="60"/>
      <c r="I638" s="60"/>
      <c r="J638" s="60"/>
      <c r="K638" s="60"/>
      <c r="L638" s="60"/>
      <c r="M638" s="60"/>
      <c r="N638" s="60"/>
      <c r="O638" s="60"/>
      <c r="P638" s="60"/>
      <c r="Q638" s="60"/>
      <c r="R638" s="60"/>
      <c r="S638" s="60"/>
      <c r="T638" s="60"/>
      <c r="U638" s="60"/>
      <c r="V638" s="60"/>
      <c r="W638" s="60"/>
    </row>
    <row r="639" spans="7:23" x14ac:dyDescent="0.25">
      <c r="G639" s="60"/>
      <c r="H639" s="60"/>
      <c r="I639" s="60"/>
      <c r="J639" s="60"/>
      <c r="K639" s="60"/>
      <c r="L639" s="60"/>
      <c r="M639" s="60"/>
      <c r="N639" s="60"/>
      <c r="O639" s="60"/>
      <c r="P639" s="60"/>
      <c r="Q639" s="60"/>
      <c r="R639" s="60"/>
      <c r="S639" s="60"/>
      <c r="T639" s="60"/>
      <c r="U639" s="60"/>
      <c r="V639" s="60"/>
      <c r="W639" s="60"/>
    </row>
    <row r="640" spans="7:23" x14ac:dyDescent="0.25">
      <c r="G640" s="60"/>
      <c r="H640" s="60"/>
      <c r="I640" s="60"/>
      <c r="J640" s="60"/>
      <c r="K640" s="60"/>
      <c r="L640" s="60"/>
      <c r="M640" s="60"/>
      <c r="N640" s="60"/>
      <c r="O640" s="60"/>
      <c r="P640" s="60"/>
      <c r="Q640" s="60"/>
      <c r="R640" s="60"/>
      <c r="S640" s="60"/>
      <c r="T640" s="60"/>
      <c r="U640" s="60"/>
      <c r="V640" s="60"/>
      <c r="W640" s="60"/>
    </row>
    <row r="641" spans="7:23" x14ac:dyDescent="0.25">
      <c r="G641" s="60"/>
      <c r="H641" s="60"/>
      <c r="I641" s="60"/>
      <c r="J641" s="60"/>
      <c r="K641" s="60"/>
      <c r="L641" s="60"/>
      <c r="M641" s="60"/>
      <c r="N641" s="60"/>
      <c r="O641" s="60"/>
      <c r="P641" s="60"/>
      <c r="Q641" s="60"/>
      <c r="R641" s="60"/>
      <c r="S641" s="60"/>
      <c r="T641" s="60"/>
      <c r="U641" s="60"/>
      <c r="V641" s="60"/>
      <c r="W641" s="60"/>
    </row>
    <row r="642" spans="7:23" x14ac:dyDescent="0.25">
      <c r="G642" s="60"/>
      <c r="H642" s="60"/>
      <c r="I642" s="60"/>
      <c r="J642" s="60"/>
      <c r="K642" s="60"/>
      <c r="L642" s="60"/>
      <c r="M642" s="60"/>
      <c r="N642" s="60"/>
      <c r="O642" s="60"/>
      <c r="P642" s="60"/>
      <c r="Q642" s="60"/>
      <c r="R642" s="60"/>
      <c r="S642" s="60"/>
      <c r="T642" s="60"/>
      <c r="U642" s="60"/>
      <c r="V642" s="60"/>
      <c r="W642" s="60"/>
    </row>
    <row r="643" spans="7:23" x14ac:dyDescent="0.25">
      <c r="G643" s="60"/>
      <c r="H643" s="60"/>
      <c r="I643" s="60"/>
      <c r="J643" s="60"/>
      <c r="K643" s="60"/>
      <c r="L643" s="60"/>
      <c r="M643" s="60"/>
      <c r="N643" s="60"/>
      <c r="O643" s="60"/>
      <c r="P643" s="60"/>
      <c r="Q643" s="60"/>
      <c r="R643" s="60"/>
      <c r="S643" s="60"/>
      <c r="T643" s="60"/>
      <c r="U643" s="60"/>
      <c r="V643" s="60"/>
      <c r="W643" s="60"/>
    </row>
    <row r="644" spans="7:23" x14ac:dyDescent="0.25">
      <c r="G644" s="60"/>
      <c r="H644" s="60"/>
      <c r="I644" s="60"/>
      <c r="J644" s="60"/>
      <c r="K644" s="60"/>
      <c r="L644" s="60"/>
      <c r="M644" s="60"/>
      <c r="N644" s="60"/>
      <c r="O644" s="60"/>
      <c r="P644" s="60"/>
      <c r="Q644" s="60"/>
      <c r="R644" s="60"/>
      <c r="S644" s="60"/>
      <c r="T644" s="60"/>
      <c r="U644" s="60"/>
      <c r="V644" s="60"/>
      <c r="W644" s="60"/>
    </row>
    <row r="645" spans="7:23" x14ac:dyDescent="0.25">
      <c r="G645" s="60"/>
      <c r="H645" s="60"/>
      <c r="I645" s="60"/>
      <c r="J645" s="60"/>
      <c r="K645" s="60"/>
      <c r="L645" s="60"/>
      <c r="M645" s="60"/>
      <c r="N645" s="60"/>
      <c r="O645" s="60"/>
      <c r="P645" s="60"/>
      <c r="Q645" s="60"/>
      <c r="R645" s="60"/>
      <c r="S645" s="60"/>
      <c r="T645" s="60"/>
      <c r="U645" s="60"/>
      <c r="V645" s="60"/>
      <c r="W645" s="60"/>
    </row>
    <row r="646" spans="7:23" x14ac:dyDescent="0.25">
      <c r="G646" s="60"/>
      <c r="H646" s="60"/>
      <c r="I646" s="60"/>
      <c r="J646" s="60"/>
      <c r="K646" s="60"/>
      <c r="L646" s="60"/>
      <c r="M646" s="60"/>
      <c r="N646" s="60"/>
      <c r="O646" s="60"/>
      <c r="P646" s="60"/>
      <c r="Q646" s="60"/>
      <c r="R646" s="60"/>
      <c r="S646" s="60"/>
      <c r="T646" s="60"/>
      <c r="U646" s="60"/>
      <c r="V646" s="60"/>
      <c r="W646" s="60"/>
    </row>
    <row r="647" spans="7:23" x14ac:dyDescent="0.25">
      <c r="G647" s="60"/>
      <c r="H647" s="60"/>
      <c r="I647" s="60"/>
      <c r="J647" s="60"/>
      <c r="K647" s="60"/>
      <c r="L647" s="60"/>
      <c r="M647" s="60"/>
      <c r="N647" s="60"/>
      <c r="O647" s="60"/>
      <c r="P647" s="60"/>
      <c r="Q647" s="60"/>
      <c r="R647" s="60"/>
      <c r="S647" s="60"/>
      <c r="T647" s="60"/>
      <c r="U647" s="60"/>
      <c r="V647" s="60"/>
      <c r="W647" s="60"/>
    </row>
    <row r="648" spans="7:23" x14ac:dyDescent="0.25">
      <c r="G648" s="60"/>
      <c r="H648" s="60"/>
      <c r="I648" s="60"/>
      <c r="J648" s="60"/>
      <c r="K648" s="60"/>
      <c r="L648" s="60"/>
      <c r="M648" s="60"/>
      <c r="N648" s="60"/>
      <c r="O648" s="60"/>
      <c r="P648" s="60"/>
      <c r="Q648" s="60"/>
      <c r="R648" s="60"/>
      <c r="S648" s="60"/>
      <c r="T648" s="60"/>
      <c r="U648" s="60"/>
      <c r="V648" s="60"/>
      <c r="W648" s="60"/>
    </row>
    <row r="649" spans="7:23" x14ac:dyDescent="0.25">
      <c r="G649" s="60"/>
      <c r="H649" s="60"/>
      <c r="I649" s="60"/>
      <c r="J649" s="60"/>
      <c r="K649" s="60"/>
      <c r="L649" s="60"/>
      <c r="M649" s="60"/>
      <c r="N649" s="60"/>
      <c r="O649" s="60"/>
      <c r="P649" s="60"/>
      <c r="Q649" s="60"/>
      <c r="R649" s="60"/>
      <c r="S649" s="60"/>
      <c r="T649" s="60"/>
      <c r="U649" s="60"/>
      <c r="V649" s="60"/>
      <c r="W649" s="60"/>
    </row>
    <row r="650" spans="7:23" x14ac:dyDescent="0.25">
      <c r="G650" s="60"/>
      <c r="H650" s="60"/>
      <c r="I650" s="60"/>
      <c r="J650" s="60"/>
      <c r="K650" s="60"/>
      <c r="L650" s="60"/>
      <c r="M650" s="60"/>
      <c r="N650" s="60"/>
      <c r="O650" s="60"/>
      <c r="P650" s="60"/>
      <c r="Q650" s="60"/>
      <c r="R650" s="60"/>
      <c r="S650" s="60"/>
      <c r="T650" s="60"/>
      <c r="U650" s="60"/>
      <c r="V650" s="60"/>
      <c r="W650" s="60"/>
    </row>
    <row r="651" spans="7:23" x14ac:dyDescent="0.25">
      <c r="G651" s="60"/>
      <c r="H651" s="60"/>
      <c r="I651" s="60"/>
      <c r="J651" s="60"/>
      <c r="K651" s="60"/>
      <c r="L651" s="60"/>
      <c r="M651" s="60"/>
      <c r="N651" s="60"/>
      <c r="O651" s="60"/>
      <c r="P651" s="60"/>
      <c r="Q651" s="60"/>
      <c r="R651" s="60"/>
      <c r="S651" s="60"/>
      <c r="T651" s="60"/>
      <c r="U651" s="60"/>
      <c r="V651" s="60"/>
      <c r="W651" s="60"/>
    </row>
    <row r="652" spans="7:23" x14ac:dyDescent="0.25">
      <c r="G652" s="60"/>
      <c r="H652" s="60"/>
      <c r="I652" s="60"/>
      <c r="J652" s="60"/>
      <c r="K652" s="60"/>
      <c r="L652" s="60"/>
      <c r="M652" s="60"/>
      <c r="N652" s="60"/>
      <c r="O652" s="60"/>
      <c r="P652" s="60"/>
      <c r="Q652" s="60"/>
      <c r="R652" s="60"/>
      <c r="S652" s="60"/>
      <c r="T652" s="60"/>
      <c r="U652" s="60"/>
      <c r="V652" s="60"/>
      <c r="W652" s="60"/>
    </row>
    <row r="653" spans="7:23" x14ac:dyDescent="0.25">
      <c r="G653" s="60"/>
      <c r="H653" s="60"/>
      <c r="I653" s="60"/>
      <c r="J653" s="60"/>
      <c r="K653" s="60"/>
      <c r="L653" s="60"/>
      <c r="M653" s="60"/>
      <c r="N653" s="60"/>
      <c r="O653" s="60"/>
      <c r="P653" s="60"/>
      <c r="Q653" s="60"/>
      <c r="R653" s="60"/>
      <c r="S653" s="60"/>
      <c r="T653" s="60"/>
      <c r="U653" s="60"/>
      <c r="V653" s="60"/>
      <c r="W653" s="60"/>
    </row>
    <row r="654" spans="7:23" x14ac:dyDescent="0.25">
      <c r="G654" s="60"/>
      <c r="H654" s="60"/>
      <c r="I654" s="60"/>
      <c r="J654" s="60"/>
      <c r="K654" s="60"/>
      <c r="L654" s="60"/>
      <c r="M654" s="60"/>
      <c r="N654" s="60"/>
      <c r="O654" s="60"/>
      <c r="P654" s="60"/>
      <c r="Q654" s="60"/>
      <c r="R654" s="60"/>
      <c r="S654" s="60"/>
      <c r="T654" s="60"/>
      <c r="U654" s="60"/>
      <c r="V654" s="60"/>
      <c r="W654" s="60"/>
    </row>
    <row r="655" spans="7:23" x14ac:dyDescent="0.25">
      <c r="G655" s="60"/>
      <c r="H655" s="60"/>
      <c r="I655" s="60"/>
      <c r="J655" s="60"/>
      <c r="K655" s="60"/>
      <c r="L655" s="60"/>
      <c r="M655" s="60"/>
      <c r="N655" s="60"/>
      <c r="O655" s="60"/>
      <c r="P655" s="60"/>
      <c r="Q655" s="60"/>
      <c r="R655" s="60"/>
      <c r="S655" s="60"/>
      <c r="T655" s="60"/>
      <c r="U655" s="60"/>
      <c r="V655" s="60"/>
      <c r="W655" s="60"/>
    </row>
    <row r="656" spans="7:23" x14ac:dyDescent="0.25">
      <c r="G656" s="60"/>
      <c r="H656" s="60"/>
      <c r="I656" s="60"/>
      <c r="J656" s="60"/>
      <c r="K656" s="60"/>
      <c r="L656" s="60"/>
      <c r="M656" s="60"/>
      <c r="N656" s="60"/>
      <c r="O656" s="60"/>
      <c r="P656" s="60"/>
      <c r="Q656" s="60"/>
      <c r="R656" s="60"/>
      <c r="S656" s="60"/>
      <c r="T656" s="60"/>
      <c r="U656" s="60"/>
      <c r="V656" s="60"/>
      <c r="W656" s="60"/>
    </row>
    <row r="657" spans="7:23" x14ac:dyDescent="0.25">
      <c r="G657" s="60"/>
      <c r="H657" s="60"/>
      <c r="I657" s="60"/>
      <c r="J657" s="60"/>
      <c r="K657" s="60"/>
      <c r="L657" s="60"/>
      <c r="M657" s="60"/>
      <c r="N657" s="60"/>
      <c r="O657" s="60"/>
      <c r="P657" s="60"/>
      <c r="Q657" s="60"/>
      <c r="R657" s="60"/>
      <c r="S657" s="60"/>
      <c r="T657" s="60"/>
      <c r="U657" s="60"/>
      <c r="V657" s="60"/>
      <c r="W657" s="60"/>
    </row>
    <row r="658" spans="7:23" x14ac:dyDescent="0.25">
      <c r="G658" s="60"/>
      <c r="H658" s="60"/>
      <c r="I658" s="60"/>
      <c r="J658" s="60"/>
      <c r="K658" s="60"/>
      <c r="L658" s="60"/>
      <c r="M658" s="60"/>
      <c r="N658" s="60"/>
      <c r="O658" s="60"/>
      <c r="P658" s="60"/>
      <c r="Q658" s="60"/>
      <c r="R658" s="60"/>
      <c r="S658" s="60"/>
      <c r="T658" s="60"/>
      <c r="U658" s="60"/>
      <c r="V658" s="60"/>
      <c r="W658" s="60"/>
    </row>
    <row r="659" spans="7:23" x14ac:dyDescent="0.25">
      <c r="G659" s="60"/>
      <c r="H659" s="60"/>
      <c r="I659" s="60"/>
      <c r="J659" s="60"/>
      <c r="K659" s="60"/>
      <c r="L659" s="60"/>
      <c r="M659" s="60"/>
      <c r="N659" s="60"/>
      <c r="O659" s="60"/>
      <c r="P659" s="60"/>
      <c r="Q659" s="60"/>
      <c r="R659" s="60"/>
      <c r="S659" s="60"/>
      <c r="T659" s="60"/>
      <c r="U659" s="60"/>
      <c r="V659" s="60"/>
      <c r="W659" s="60"/>
    </row>
    <row r="660" spans="7:23" x14ac:dyDescent="0.25">
      <c r="G660" s="60"/>
      <c r="H660" s="60"/>
      <c r="I660" s="60"/>
      <c r="J660" s="60"/>
      <c r="K660" s="60"/>
      <c r="L660" s="60"/>
      <c r="M660" s="60"/>
      <c r="N660" s="60"/>
      <c r="O660" s="60"/>
      <c r="P660" s="60"/>
      <c r="Q660" s="60"/>
      <c r="R660" s="60"/>
      <c r="S660" s="60"/>
      <c r="T660" s="60"/>
      <c r="U660" s="60"/>
      <c r="V660" s="60"/>
      <c r="W660" s="60"/>
    </row>
    <row r="661" spans="7:23" x14ac:dyDescent="0.25">
      <c r="G661" s="60"/>
      <c r="H661" s="60"/>
      <c r="I661" s="60"/>
      <c r="J661" s="60"/>
      <c r="K661" s="60"/>
      <c r="L661" s="60"/>
      <c r="M661" s="60"/>
      <c r="N661" s="60"/>
      <c r="O661" s="60"/>
      <c r="P661" s="60"/>
      <c r="Q661" s="60"/>
      <c r="R661" s="60"/>
      <c r="S661" s="60"/>
      <c r="T661" s="60"/>
      <c r="U661" s="60"/>
      <c r="V661" s="60"/>
      <c r="W661" s="60"/>
    </row>
    <row r="662" spans="7:23" x14ac:dyDescent="0.25">
      <c r="G662" s="60"/>
      <c r="H662" s="60"/>
      <c r="I662" s="60"/>
      <c r="J662" s="60"/>
      <c r="K662" s="60"/>
      <c r="L662" s="60"/>
      <c r="M662" s="60"/>
      <c r="N662" s="60"/>
      <c r="O662" s="60"/>
      <c r="P662" s="60"/>
      <c r="Q662" s="60"/>
      <c r="R662" s="60"/>
      <c r="S662" s="60"/>
      <c r="T662" s="60"/>
      <c r="U662" s="60"/>
      <c r="V662" s="60"/>
      <c r="W662" s="60"/>
    </row>
    <row r="663" spans="7:23" x14ac:dyDescent="0.25">
      <c r="G663" s="60"/>
      <c r="H663" s="60"/>
      <c r="I663" s="60"/>
      <c r="J663" s="60"/>
      <c r="K663" s="60"/>
      <c r="L663" s="60"/>
      <c r="M663" s="60"/>
      <c r="N663" s="60"/>
      <c r="O663" s="60"/>
      <c r="P663" s="60"/>
      <c r="Q663" s="60"/>
      <c r="R663" s="60"/>
      <c r="S663" s="60"/>
      <c r="T663" s="60"/>
      <c r="U663" s="60"/>
      <c r="V663" s="60"/>
      <c r="W663" s="60"/>
    </row>
    <row r="664" spans="7:23" x14ac:dyDescent="0.25">
      <c r="G664" s="60"/>
      <c r="H664" s="60"/>
      <c r="I664" s="60"/>
      <c r="J664" s="60"/>
      <c r="K664" s="60"/>
      <c r="L664" s="60"/>
      <c r="M664" s="60"/>
      <c r="N664" s="60"/>
      <c r="O664" s="60"/>
      <c r="P664" s="60"/>
      <c r="Q664" s="60"/>
      <c r="R664" s="60"/>
      <c r="S664" s="60"/>
      <c r="T664" s="60"/>
      <c r="U664" s="60"/>
      <c r="V664" s="60"/>
      <c r="W664" s="60"/>
    </row>
    <row r="665" spans="7:23" x14ac:dyDescent="0.25">
      <c r="G665" s="60"/>
      <c r="H665" s="60"/>
      <c r="I665" s="60"/>
      <c r="J665" s="60"/>
      <c r="K665" s="60"/>
      <c r="L665" s="60"/>
      <c r="M665" s="60"/>
      <c r="N665" s="60"/>
      <c r="O665" s="60"/>
      <c r="P665" s="60"/>
      <c r="Q665" s="60"/>
      <c r="R665" s="60"/>
      <c r="S665" s="60"/>
      <c r="T665" s="60"/>
      <c r="U665" s="60"/>
      <c r="V665" s="60"/>
      <c r="W665" s="60"/>
    </row>
    <row r="666" spans="7:23" x14ac:dyDescent="0.25">
      <c r="G666" s="60"/>
      <c r="H666" s="60"/>
      <c r="I666" s="60"/>
      <c r="J666" s="60"/>
      <c r="K666" s="60"/>
      <c r="L666" s="60"/>
      <c r="M666" s="60"/>
      <c r="N666" s="60"/>
      <c r="O666" s="60"/>
      <c r="P666" s="60"/>
      <c r="Q666" s="60"/>
      <c r="R666" s="60"/>
      <c r="S666" s="60"/>
      <c r="T666" s="60"/>
      <c r="U666" s="60"/>
      <c r="V666" s="60"/>
      <c r="W666" s="60"/>
    </row>
    <row r="667" spans="7:23" x14ac:dyDescent="0.25">
      <c r="G667" s="60"/>
      <c r="H667" s="60"/>
      <c r="I667" s="60"/>
      <c r="J667" s="60"/>
      <c r="K667" s="60"/>
      <c r="L667" s="60"/>
      <c r="M667" s="60"/>
      <c r="N667" s="60"/>
      <c r="O667" s="60"/>
      <c r="P667" s="60"/>
      <c r="Q667" s="60"/>
      <c r="R667" s="60"/>
      <c r="S667" s="60"/>
      <c r="T667" s="60"/>
      <c r="U667" s="60"/>
      <c r="V667" s="60"/>
      <c r="W667" s="60"/>
    </row>
    <row r="668" spans="7:23" x14ac:dyDescent="0.25">
      <c r="G668" s="60"/>
      <c r="H668" s="60"/>
      <c r="I668" s="60"/>
      <c r="J668" s="60"/>
      <c r="K668" s="60"/>
      <c r="L668" s="60"/>
      <c r="M668" s="60"/>
      <c r="N668" s="60"/>
      <c r="O668" s="60"/>
      <c r="P668" s="60"/>
      <c r="Q668" s="60"/>
      <c r="R668" s="60"/>
      <c r="S668" s="60"/>
      <c r="T668" s="60"/>
      <c r="U668" s="60"/>
      <c r="V668" s="60"/>
      <c r="W668" s="60"/>
    </row>
    <row r="669" spans="7:23" x14ac:dyDescent="0.25">
      <c r="G669" s="60"/>
      <c r="H669" s="60"/>
      <c r="I669" s="60"/>
      <c r="J669" s="60"/>
      <c r="K669" s="60"/>
      <c r="L669" s="60"/>
      <c r="M669" s="60"/>
      <c r="N669" s="60"/>
      <c r="O669" s="60"/>
      <c r="P669" s="60"/>
      <c r="Q669" s="60"/>
      <c r="R669" s="60"/>
      <c r="S669" s="60"/>
      <c r="T669" s="60"/>
      <c r="U669" s="60"/>
      <c r="V669" s="60"/>
      <c r="W669" s="60"/>
    </row>
    <row r="670" spans="7:23" x14ac:dyDescent="0.25">
      <c r="G670" s="60"/>
      <c r="H670" s="60"/>
      <c r="I670" s="60"/>
      <c r="J670" s="60"/>
      <c r="K670" s="60"/>
      <c r="L670" s="60"/>
      <c r="M670" s="60"/>
      <c r="N670" s="60"/>
      <c r="O670" s="60"/>
      <c r="P670" s="60"/>
      <c r="Q670" s="60"/>
      <c r="R670" s="60"/>
      <c r="S670" s="60"/>
      <c r="T670" s="60"/>
      <c r="U670" s="60"/>
      <c r="V670" s="60"/>
      <c r="W670" s="60"/>
    </row>
    <row r="671" spans="7:23" x14ac:dyDescent="0.25">
      <c r="G671" s="60"/>
      <c r="H671" s="60"/>
      <c r="I671" s="60"/>
      <c r="J671" s="60"/>
      <c r="K671" s="60"/>
      <c r="L671" s="60"/>
      <c r="M671" s="60"/>
      <c r="N671" s="60"/>
      <c r="O671" s="60"/>
      <c r="P671" s="60"/>
      <c r="Q671" s="60"/>
      <c r="R671" s="60"/>
      <c r="S671" s="60"/>
      <c r="T671" s="60"/>
      <c r="U671" s="60"/>
      <c r="V671" s="60"/>
      <c r="W671" s="60"/>
    </row>
    <row r="672" spans="7:23" x14ac:dyDescent="0.25">
      <c r="G672" s="60"/>
      <c r="H672" s="60"/>
      <c r="I672" s="60"/>
      <c r="J672" s="60"/>
      <c r="K672" s="60"/>
      <c r="L672" s="60"/>
      <c r="M672" s="60"/>
      <c r="N672" s="60"/>
      <c r="O672" s="60"/>
      <c r="P672" s="60"/>
      <c r="Q672" s="60"/>
      <c r="R672" s="60"/>
      <c r="S672" s="60"/>
      <c r="T672" s="60"/>
      <c r="U672" s="60"/>
      <c r="V672" s="60"/>
      <c r="W672" s="60"/>
    </row>
    <row r="673" spans="7:23" x14ac:dyDescent="0.25">
      <c r="G673" s="60"/>
      <c r="H673" s="60"/>
      <c r="I673" s="60"/>
      <c r="J673" s="60"/>
      <c r="K673" s="60"/>
      <c r="L673" s="60"/>
      <c r="M673" s="60"/>
      <c r="N673" s="60"/>
      <c r="O673" s="60"/>
      <c r="P673" s="60"/>
      <c r="Q673" s="60"/>
      <c r="R673" s="60"/>
      <c r="S673" s="60"/>
      <c r="T673" s="60"/>
      <c r="U673" s="60"/>
      <c r="V673" s="60"/>
      <c r="W673" s="60"/>
    </row>
    <row r="674" spans="7:23" x14ac:dyDescent="0.25">
      <c r="G674" s="60"/>
      <c r="H674" s="60"/>
      <c r="I674" s="60"/>
      <c r="J674" s="60"/>
      <c r="K674" s="60"/>
      <c r="L674" s="60"/>
      <c r="M674" s="60"/>
      <c r="N674" s="60"/>
      <c r="O674" s="60"/>
      <c r="P674" s="60"/>
      <c r="Q674" s="60"/>
      <c r="R674" s="60"/>
      <c r="S674" s="60"/>
      <c r="T674" s="60"/>
      <c r="U674" s="60"/>
      <c r="V674" s="60"/>
      <c r="W674" s="60"/>
    </row>
    <row r="675" spans="7:23" x14ac:dyDescent="0.25">
      <c r="G675" s="60"/>
      <c r="H675" s="60"/>
      <c r="I675" s="60"/>
      <c r="J675" s="60"/>
      <c r="K675" s="60"/>
      <c r="L675" s="60"/>
      <c r="M675" s="60"/>
      <c r="N675" s="60"/>
      <c r="O675" s="60"/>
      <c r="P675" s="60"/>
      <c r="Q675" s="60"/>
      <c r="R675" s="60"/>
      <c r="S675" s="60"/>
      <c r="T675" s="60"/>
      <c r="U675" s="60"/>
      <c r="V675" s="60"/>
      <c r="W675" s="60"/>
    </row>
    <row r="676" spans="7:23" x14ac:dyDescent="0.25">
      <c r="G676" s="60"/>
      <c r="H676" s="60"/>
      <c r="I676" s="60"/>
      <c r="J676" s="60"/>
      <c r="K676" s="60"/>
      <c r="L676" s="60"/>
      <c r="M676" s="60"/>
      <c r="N676" s="60"/>
      <c r="O676" s="60"/>
      <c r="P676" s="60"/>
      <c r="Q676" s="60"/>
      <c r="R676" s="60"/>
      <c r="S676" s="60"/>
      <c r="T676" s="60"/>
      <c r="U676" s="60"/>
      <c r="V676" s="60"/>
      <c r="W676" s="60"/>
    </row>
    <row r="677" spans="7:23" x14ac:dyDescent="0.25">
      <c r="G677" s="60"/>
      <c r="H677" s="60"/>
      <c r="I677" s="60"/>
      <c r="J677" s="60"/>
      <c r="K677" s="60"/>
      <c r="L677" s="60"/>
      <c r="M677" s="60"/>
      <c r="N677" s="60"/>
      <c r="O677" s="60"/>
      <c r="P677" s="60"/>
      <c r="Q677" s="60"/>
      <c r="R677" s="60"/>
      <c r="S677" s="60"/>
      <c r="T677" s="60"/>
      <c r="U677" s="60"/>
      <c r="V677" s="60"/>
      <c r="W677" s="60"/>
    </row>
    <row r="678" spans="7:23" x14ac:dyDescent="0.25">
      <c r="G678" s="60"/>
      <c r="H678" s="60"/>
      <c r="I678" s="60"/>
      <c r="J678" s="60"/>
      <c r="K678" s="60"/>
      <c r="L678" s="60"/>
      <c r="M678" s="60"/>
      <c r="N678" s="60"/>
      <c r="O678" s="60"/>
      <c r="P678" s="60"/>
      <c r="Q678" s="60"/>
      <c r="R678" s="60"/>
      <c r="S678" s="60"/>
      <c r="T678" s="60"/>
      <c r="U678" s="60"/>
      <c r="V678" s="60"/>
      <c r="W678" s="60"/>
    </row>
    <row r="679" spans="7:23" x14ac:dyDescent="0.25">
      <c r="G679" s="60"/>
      <c r="H679" s="60"/>
      <c r="I679" s="60"/>
      <c r="J679" s="60"/>
      <c r="K679" s="60"/>
      <c r="L679" s="60"/>
      <c r="M679" s="60"/>
      <c r="N679" s="60"/>
      <c r="O679" s="60"/>
      <c r="P679" s="60"/>
      <c r="Q679" s="60"/>
      <c r="R679" s="60"/>
      <c r="S679" s="60"/>
      <c r="T679" s="60"/>
      <c r="U679" s="60"/>
      <c r="V679" s="60"/>
      <c r="W679" s="60"/>
    </row>
    <row r="680" spans="7:23" x14ac:dyDescent="0.25">
      <c r="G680" s="60"/>
      <c r="H680" s="60"/>
      <c r="I680" s="60"/>
      <c r="J680" s="60"/>
      <c r="K680" s="60"/>
      <c r="L680" s="60"/>
      <c r="M680" s="60"/>
      <c r="N680" s="60"/>
      <c r="O680" s="60"/>
      <c r="P680" s="60"/>
      <c r="Q680" s="60"/>
      <c r="R680" s="60"/>
      <c r="S680" s="60"/>
      <c r="T680" s="60"/>
      <c r="U680" s="60"/>
      <c r="V680" s="60"/>
      <c r="W680" s="60"/>
    </row>
    <row r="681" spans="7:23" x14ac:dyDescent="0.25">
      <c r="G681" s="60"/>
      <c r="H681" s="60"/>
      <c r="I681" s="60"/>
      <c r="J681" s="60"/>
      <c r="K681" s="60"/>
      <c r="L681" s="60"/>
      <c r="M681" s="60"/>
      <c r="N681" s="60"/>
      <c r="O681" s="60"/>
      <c r="P681" s="60"/>
      <c r="Q681" s="60"/>
      <c r="R681" s="60"/>
      <c r="S681" s="60"/>
      <c r="T681" s="60"/>
      <c r="U681" s="60"/>
      <c r="V681" s="60"/>
      <c r="W681" s="60"/>
    </row>
    <row r="682" spans="7:23" x14ac:dyDescent="0.25">
      <c r="G682" s="60"/>
      <c r="H682" s="60"/>
      <c r="I682" s="60"/>
      <c r="J682" s="60"/>
      <c r="K682" s="60"/>
      <c r="L682" s="60"/>
      <c r="M682" s="60"/>
      <c r="N682" s="60"/>
      <c r="O682" s="60"/>
      <c r="P682" s="60"/>
      <c r="Q682" s="60"/>
      <c r="R682" s="60"/>
      <c r="S682" s="60"/>
      <c r="T682" s="60"/>
      <c r="U682" s="60"/>
      <c r="V682" s="60"/>
      <c r="W682" s="60"/>
    </row>
    <row r="683" spans="7:23" x14ac:dyDescent="0.25">
      <c r="G683" s="60"/>
      <c r="H683" s="60"/>
      <c r="I683" s="60"/>
      <c r="J683" s="60"/>
      <c r="K683" s="60"/>
      <c r="L683" s="60"/>
      <c r="M683" s="60"/>
      <c r="N683" s="60"/>
      <c r="O683" s="60"/>
      <c r="P683" s="60"/>
      <c r="Q683" s="60"/>
      <c r="R683" s="60"/>
      <c r="S683" s="60"/>
      <c r="T683" s="60"/>
      <c r="U683" s="60"/>
      <c r="V683" s="60"/>
      <c r="W683" s="60"/>
    </row>
    <row r="684" spans="7:23" x14ac:dyDescent="0.25">
      <c r="G684" s="60"/>
      <c r="H684" s="60"/>
      <c r="I684" s="60"/>
      <c r="J684" s="60"/>
      <c r="K684" s="60"/>
      <c r="L684" s="60"/>
      <c r="M684" s="60"/>
      <c r="N684" s="60"/>
      <c r="O684" s="60"/>
      <c r="P684" s="60"/>
      <c r="Q684" s="60"/>
      <c r="R684" s="60"/>
      <c r="S684" s="60"/>
      <c r="T684" s="60"/>
      <c r="U684" s="60"/>
      <c r="V684" s="60"/>
      <c r="W684" s="60"/>
    </row>
    <row r="685" spans="7:23" x14ac:dyDescent="0.25">
      <c r="G685" s="60"/>
      <c r="H685" s="60"/>
      <c r="I685" s="60"/>
      <c r="J685" s="60"/>
      <c r="K685" s="60"/>
      <c r="L685" s="60"/>
      <c r="M685" s="60"/>
      <c r="N685" s="60"/>
      <c r="O685" s="60"/>
      <c r="P685" s="60"/>
      <c r="Q685" s="60"/>
      <c r="R685" s="60"/>
      <c r="S685" s="60"/>
      <c r="T685" s="60"/>
      <c r="U685" s="60"/>
      <c r="V685" s="60"/>
      <c r="W685" s="60"/>
    </row>
    <row r="686" spans="7:23" x14ac:dyDescent="0.25">
      <c r="G686" s="60"/>
      <c r="H686" s="60"/>
      <c r="I686" s="60"/>
      <c r="J686" s="60"/>
      <c r="K686" s="60"/>
      <c r="L686" s="60"/>
      <c r="M686" s="60"/>
      <c r="N686" s="60"/>
      <c r="O686" s="60"/>
      <c r="P686" s="60"/>
      <c r="Q686" s="60"/>
      <c r="R686" s="60"/>
      <c r="S686" s="60"/>
      <c r="T686" s="60"/>
      <c r="U686" s="60"/>
      <c r="V686" s="60"/>
      <c r="W686" s="60"/>
    </row>
    <row r="687" spans="7:23" x14ac:dyDescent="0.25">
      <c r="G687" s="60"/>
      <c r="H687" s="60"/>
      <c r="I687" s="60"/>
      <c r="J687" s="60"/>
      <c r="K687" s="60"/>
      <c r="L687" s="60"/>
      <c r="M687" s="60"/>
      <c r="N687" s="60"/>
      <c r="O687" s="60"/>
      <c r="P687" s="60"/>
      <c r="Q687" s="60"/>
      <c r="R687" s="60"/>
      <c r="S687" s="60"/>
      <c r="T687" s="60"/>
      <c r="U687" s="60"/>
      <c r="V687" s="60"/>
      <c r="W687" s="60"/>
    </row>
    <row r="688" spans="7:23" x14ac:dyDescent="0.25">
      <c r="G688" s="60"/>
      <c r="H688" s="60"/>
      <c r="I688" s="60"/>
      <c r="J688" s="60"/>
      <c r="K688" s="60"/>
      <c r="L688" s="60"/>
      <c r="M688" s="60"/>
      <c r="N688" s="60"/>
      <c r="O688" s="60"/>
      <c r="P688" s="60"/>
      <c r="Q688" s="60"/>
      <c r="R688" s="60"/>
      <c r="S688" s="60"/>
      <c r="T688" s="60"/>
      <c r="U688" s="60"/>
      <c r="V688" s="60"/>
      <c r="W688" s="60"/>
    </row>
    <row r="689" spans="7:23" x14ac:dyDescent="0.25">
      <c r="G689" s="60"/>
      <c r="H689" s="60"/>
      <c r="I689" s="60"/>
      <c r="J689" s="60"/>
      <c r="K689" s="60"/>
      <c r="L689" s="60"/>
      <c r="M689" s="60"/>
      <c r="N689" s="60"/>
      <c r="O689" s="60"/>
      <c r="P689" s="60"/>
      <c r="Q689" s="60"/>
      <c r="R689" s="60"/>
      <c r="S689" s="60"/>
      <c r="T689" s="60"/>
      <c r="U689" s="60"/>
      <c r="V689" s="60"/>
      <c r="W689" s="60"/>
    </row>
    <row r="690" spans="7:23" x14ac:dyDescent="0.25">
      <c r="G690" s="60"/>
      <c r="H690" s="60"/>
      <c r="I690" s="60"/>
      <c r="J690" s="60"/>
      <c r="K690" s="60"/>
      <c r="L690" s="60"/>
      <c r="M690" s="60"/>
      <c r="N690" s="60"/>
      <c r="O690" s="60"/>
      <c r="P690" s="60"/>
      <c r="Q690" s="60"/>
      <c r="R690" s="60"/>
      <c r="S690" s="60"/>
      <c r="T690" s="60"/>
      <c r="U690" s="60"/>
      <c r="V690" s="60"/>
      <c r="W690" s="60"/>
    </row>
    <row r="691" spans="7:23" x14ac:dyDescent="0.25">
      <c r="G691" s="60"/>
      <c r="H691" s="60"/>
      <c r="I691" s="60"/>
      <c r="J691" s="60"/>
      <c r="K691" s="60"/>
      <c r="L691" s="60"/>
      <c r="M691" s="60"/>
      <c r="N691" s="60"/>
      <c r="O691" s="60"/>
      <c r="P691" s="60"/>
      <c r="Q691" s="60"/>
      <c r="R691" s="60"/>
      <c r="S691" s="60"/>
      <c r="T691" s="60"/>
      <c r="U691" s="60"/>
      <c r="V691" s="60"/>
      <c r="W691" s="60"/>
    </row>
    <row r="692" spans="7:23" x14ac:dyDescent="0.25">
      <c r="G692" s="60"/>
      <c r="H692" s="60"/>
      <c r="I692" s="60"/>
      <c r="J692" s="60"/>
      <c r="K692" s="60"/>
      <c r="L692" s="60"/>
      <c r="M692" s="60"/>
      <c r="N692" s="60"/>
      <c r="O692" s="60"/>
      <c r="P692" s="60"/>
      <c r="Q692" s="60"/>
      <c r="R692" s="60"/>
      <c r="S692" s="60"/>
      <c r="T692" s="60"/>
      <c r="U692" s="60"/>
      <c r="V692" s="60"/>
      <c r="W692" s="60"/>
    </row>
    <row r="693" spans="7:23" x14ac:dyDescent="0.25">
      <c r="G693" s="60"/>
      <c r="H693" s="60"/>
      <c r="I693" s="60"/>
      <c r="J693" s="60"/>
      <c r="K693" s="60"/>
      <c r="L693" s="60"/>
      <c r="M693" s="60"/>
      <c r="N693" s="60"/>
      <c r="O693" s="60"/>
      <c r="P693" s="60"/>
      <c r="Q693" s="60"/>
      <c r="R693" s="60"/>
      <c r="S693" s="60"/>
      <c r="T693" s="60"/>
      <c r="U693" s="60"/>
      <c r="V693" s="60"/>
      <c r="W693" s="60"/>
    </row>
    <row r="694" spans="7:23" x14ac:dyDescent="0.25">
      <c r="G694" s="60"/>
      <c r="H694" s="60"/>
      <c r="I694" s="60"/>
      <c r="J694" s="60"/>
      <c r="K694" s="60"/>
      <c r="L694" s="60"/>
      <c r="M694" s="60"/>
      <c r="N694" s="60"/>
      <c r="O694" s="60"/>
      <c r="P694" s="60"/>
      <c r="Q694" s="60"/>
      <c r="R694" s="60"/>
      <c r="S694" s="60"/>
      <c r="T694" s="60"/>
      <c r="U694" s="60"/>
      <c r="V694" s="60"/>
      <c r="W694" s="60"/>
    </row>
    <row r="695" spans="7:23" x14ac:dyDescent="0.25">
      <c r="G695" s="60"/>
      <c r="H695" s="60"/>
      <c r="I695" s="60"/>
      <c r="J695" s="60"/>
      <c r="K695" s="60"/>
      <c r="L695" s="60"/>
      <c r="M695" s="60"/>
      <c r="N695" s="60"/>
      <c r="O695" s="60"/>
      <c r="P695" s="60"/>
      <c r="Q695" s="60"/>
      <c r="R695" s="60"/>
      <c r="S695" s="60"/>
      <c r="T695" s="60"/>
      <c r="U695" s="60"/>
      <c r="V695" s="60"/>
      <c r="W695" s="60"/>
    </row>
    <row r="696" spans="7:23" x14ac:dyDescent="0.25">
      <c r="G696" s="60"/>
      <c r="H696" s="60"/>
      <c r="I696" s="60"/>
      <c r="J696" s="60"/>
      <c r="K696" s="60"/>
      <c r="L696" s="60"/>
      <c r="M696" s="60"/>
      <c r="N696" s="60"/>
      <c r="O696" s="60"/>
      <c r="P696" s="60"/>
      <c r="Q696" s="60"/>
      <c r="R696" s="60"/>
      <c r="S696" s="60"/>
      <c r="T696" s="60"/>
      <c r="U696" s="60"/>
      <c r="V696" s="60"/>
      <c r="W696" s="60"/>
    </row>
    <row r="697" spans="7:23" x14ac:dyDescent="0.25">
      <c r="G697" s="60"/>
      <c r="H697" s="60"/>
      <c r="I697" s="60"/>
      <c r="J697" s="60"/>
      <c r="K697" s="60"/>
      <c r="L697" s="60"/>
      <c r="M697" s="60"/>
      <c r="N697" s="60"/>
      <c r="O697" s="60"/>
      <c r="P697" s="60"/>
      <c r="Q697" s="60"/>
      <c r="R697" s="60"/>
      <c r="S697" s="60"/>
      <c r="T697" s="60"/>
      <c r="U697" s="60"/>
      <c r="V697" s="60"/>
      <c r="W697" s="60"/>
    </row>
    <row r="698" spans="7:23" x14ac:dyDescent="0.25">
      <c r="G698" s="60"/>
      <c r="H698" s="60"/>
      <c r="I698" s="60"/>
      <c r="J698" s="60"/>
      <c r="K698" s="60"/>
      <c r="L698" s="60"/>
      <c r="M698" s="60"/>
      <c r="N698" s="60"/>
      <c r="O698" s="60"/>
      <c r="P698" s="60"/>
      <c r="Q698" s="60"/>
      <c r="R698" s="60"/>
      <c r="S698" s="60"/>
      <c r="T698" s="60"/>
      <c r="U698" s="60"/>
      <c r="V698" s="60"/>
      <c r="W698" s="60"/>
    </row>
    <row r="699" spans="7:23" x14ac:dyDescent="0.25">
      <c r="G699" s="60"/>
      <c r="H699" s="60"/>
      <c r="I699" s="60"/>
      <c r="J699" s="60"/>
      <c r="K699" s="60"/>
      <c r="L699" s="60"/>
      <c r="M699" s="60"/>
      <c r="N699" s="60"/>
      <c r="O699" s="60"/>
      <c r="P699" s="60"/>
      <c r="Q699" s="60"/>
      <c r="R699" s="60"/>
      <c r="S699" s="60"/>
      <c r="T699" s="60"/>
      <c r="U699" s="60"/>
      <c r="V699" s="60"/>
      <c r="W699" s="60"/>
    </row>
    <row r="700" spans="7:23" x14ac:dyDescent="0.25">
      <c r="G700" s="60"/>
      <c r="H700" s="60"/>
      <c r="I700" s="60"/>
      <c r="J700" s="60"/>
      <c r="K700" s="60"/>
      <c r="L700" s="60"/>
      <c r="M700" s="60"/>
      <c r="N700" s="60"/>
      <c r="O700" s="60"/>
      <c r="P700" s="60"/>
      <c r="Q700" s="60"/>
      <c r="R700" s="60"/>
      <c r="S700" s="60"/>
      <c r="T700" s="60"/>
      <c r="U700" s="60"/>
      <c r="V700" s="60"/>
      <c r="W700" s="60"/>
    </row>
    <row r="701" spans="7:23" x14ac:dyDescent="0.25">
      <c r="G701" s="60"/>
      <c r="H701" s="60"/>
      <c r="I701" s="60"/>
      <c r="J701" s="60"/>
      <c r="K701" s="60"/>
      <c r="L701" s="60"/>
      <c r="M701" s="60"/>
      <c r="N701" s="60"/>
      <c r="O701" s="60"/>
      <c r="P701" s="60"/>
      <c r="Q701" s="60"/>
      <c r="R701" s="60"/>
      <c r="S701" s="60"/>
      <c r="T701" s="60"/>
      <c r="U701" s="60"/>
      <c r="V701" s="60"/>
      <c r="W701" s="60"/>
    </row>
    <row r="702" spans="7:23" x14ac:dyDescent="0.25">
      <c r="G702" s="60"/>
      <c r="H702" s="60"/>
      <c r="I702" s="60"/>
      <c r="J702" s="60"/>
      <c r="K702" s="60"/>
      <c r="L702" s="60"/>
      <c r="M702" s="60"/>
      <c r="N702" s="60"/>
      <c r="O702" s="60"/>
      <c r="P702" s="60"/>
      <c r="Q702" s="60"/>
      <c r="R702" s="60"/>
      <c r="S702" s="60"/>
      <c r="T702" s="60"/>
      <c r="U702" s="60"/>
      <c r="V702" s="60"/>
      <c r="W702" s="60"/>
    </row>
    <row r="703" spans="7:23" x14ac:dyDescent="0.25">
      <c r="G703" s="60"/>
      <c r="H703" s="60"/>
      <c r="I703" s="60"/>
      <c r="J703" s="60"/>
      <c r="K703" s="60"/>
      <c r="L703" s="60"/>
      <c r="M703" s="60"/>
      <c r="N703" s="60"/>
      <c r="O703" s="60"/>
      <c r="P703" s="60"/>
      <c r="Q703" s="60"/>
      <c r="R703" s="60"/>
      <c r="S703" s="60"/>
      <c r="T703" s="60"/>
      <c r="U703" s="60"/>
      <c r="V703" s="60"/>
      <c r="W703" s="60"/>
    </row>
    <row r="704" spans="7:23" x14ac:dyDescent="0.25">
      <c r="G704" s="60"/>
      <c r="H704" s="60"/>
      <c r="I704" s="60"/>
      <c r="J704" s="60"/>
      <c r="K704" s="60"/>
      <c r="L704" s="60"/>
      <c r="M704" s="60"/>
      <c r="N704" s="60"/>
      <c r="O704" s="60"/>
      <c r="P704" s="60"/>
      <c r="Q704" s="60"/>
      <c r="R704" s="60"/>
      <c r="S704" s="60"/>
      <c r="T704" s="60"/>
      <c r="U704" s="60"/>
      <c r="V704" s="60"/>
      <c r="W704" s="60"/>
    </row>
    <row r="705" spans="7:23" x14ac:dyDescent="0.25">
      <c r="G705" s="60"/>
      <c r="H705" s="60"/>
      <c r="I705" s="60"/>
      <c r="J705" s="60"/>
      <c r="K705" s="60"/>
      <c r="L705" s="60"/>
      <c r="M705" s="60"/>
      <c r="N705" s="60"/>
      <c r="O705" s="60"/>
      <c r="P705" s="60"/>
      <c r="Q705" s="60"/>
      <c r="R705" s="60"/>
      <c r="S705" s="60"/>
      <c r="T705" s="60"/>
      <c r="U705" s="60"/>
      <c r="V705" s="60"/>
      <c r="W705" s="60"/>
    </row>
    <row r="706" spans="7:23" x14ac:dyDescent="0.25">
      <c r="G706" s="60"/>
      <c r="H706" s="60"/>
      <c r="I706" s="60"/>
      <c r="J706" s="60"/>
      <c r="K706" s="60"/>
      <c r="L706" s="60"/>
      <c r="M706" s="60"/>
      <c r="N706" s="60"/>
      <c r="O706" s="60"/>
      <c r="P706" s="60"/>
      <c r="Q706" s="60"/>
      <c r="R706" s="60"/>
      <c r="S706" s="60"/>
      <c r="T706" s="60"/>
      <c r="U706" s="60"/>
      <c r="V706" s="60"/>
      <c r="W706" s="60"/>
    </row>
    <row r="707" spans="7:23" x14ac:dyDescent="0.25">
      <c r="G707" s="60"/>
      <c r="H707" s="60"/>
      <c r="I707" s="60"/>
      <c r="J707" s="60"/>
      <c r="K707" s="60"/>
      <c r="L707" s="60"/>
      <c r="M707" s="60"/>
      <c r="N707" s="60"/>
      <c r="O707" s="60"/>
      <c r="P707" s="60"/>
      <c r="Q707" s="60"/>
      <c r="R707" s="60"/>
      <c r="S707" s="60"/>
      <c r="T707" s="60"/>
      <c r="U707" s="60"/>
      <c r="V707" s="60"/>
      <c r="W707" s="60"/>
    </row>
    <row r="708" spans="7:23" x14ac:dyDescent="0.25">
      <c r="G708" s="60"/>
      <c r="H708" s="60"/>
      <c r="I708" s="60"/>
      <c r="J708" s="60"/>
      <c r="K708" s="60"/>
      <c r="L708" s="60"/>
      <c r="M708" s="60"/>
      <c r="N708" s="60"/>
      <c r="O708" s="60"/>
      <c r="P708" s="60"/>
      <c r="Q708" s="60"/>
      <c r="R708" s="60"/>
      <c r="S708" s="60"/>
      <c r="T708" s="60"/>
      <c r="U708" s="60"/>
      <c r="V708" s="60"/>
      <c r="W708" s="60"/>
    </row>
    <row r="709" spans="7:23" x14ac:dyDescent="0.25">
      <c r="G709" s="60"/>
      <c r="H709" s="60"/>
      <c r="I709" s="60"/>
      <c r="J709" s="60"/>
      <c r="K709" s="60"/>
      <c r="L709" s="60"/>
      <c r="M709" s="60"/>
      <c r="N709" s="60"/>
      <c r="O709" s="60"/>
      <c r="P709" s="60"/>
      <c r="Q709" s="60"/>
      <c r="R709" s="60"/>
      <c r="S709" s="60"/>
      <c r="T709" s="60"/>
      <c r="U709" s="60"/>
      <c r="V709" s="60"/>
      <c r="W709" s="60"/>
    </row>
    <row r="710" spans="7:23" x14ac:dyDescent="0.25">
      <c r="G710" s="60"/>
      <c r="H710" s="60"/>
      <c r="I710" s="60"/>
      <c r="J710" s="60"/>
      <c r="K710" s="60"/>
      <c r="L710" s="60"/>
      <c r="M710" s="60"/>
      <c r="N710" s="60"/>
      <c r="O710" s="60"/>
      <c r="P710" s="60"/>
      <c r="Q710" s="60"/>
      <c r="R710" s="60"/>
      <c r="S710" s="60"/>
      <c r="T710" s="60"/>
      <c r="U710" s="60"/>
      <c r="V710" s="60"/>
      <c r="W710" s="60"/>
    </row>
    <row r="711" spans="7:23" x14ac:dyDescent="0.25">
      <c r="G711" s="60"/>
      <c r="H711" s="60"/>
      <c r="I711" s="60"/>
      <c r="J711" s="60"/>
      <c r="K711" s="60"/>
      <c r="L711" s="60"/>
      <c r="M711" s="60"/>
      <c r="N711" s="60"/>
      <c r="O711" s="60"/>
      <c r="P711" s="60"/>
      <c r="Q711" s="60"/>
      <c r="R711" s="60"/>
      <c r="S711" s="60"/>
      <c r="T711" s="60"/>
      <c r="U711" s="60"/>
      <c r="V711" s="60"/>
      <c r="W711" s="60"/>
    </row>
    <row r="712" spans="7:23" x14ac:dyDescent="0.25">
      <c r="G712" s="60"/>
      <c r="H712" s="60"/>
      <c r="I712" s="60"/>
      <c r="J712" s="60"/>
      <c r="K712" s="60"/>
      <c r="L712" s="60"/>
      <c r="M712" s="60"/>
      <c r="N712" s="60"/>
      <c r="O712" s="60"/>
      <c r="P712" s="60"/>
      <c r="Q712" s="60"/>
      <c r="R712" s="60"/>
      <c r="S712" s="60"/>
      <c r="T712" s="60"/>
      <c r="U712" s="60"/>
      <c r="V712" s="60"/>
      <c r="W712" s="60"/>
    </row>
    <row r="713" spans="7:23" x14ac:dyDescent="0.25">
      <c r="G713" s="60"/>
      <c r="H713" s="60"/>
      <c r="I713" s="60"/>
      <c r="J713" s="60"/>
      <c r="K713" s="60"/>
      <c r="L713" s="60"/>
      <c r="M713" s="60"/>
      <c r="N713" s="60"/>
      <c r="O713" s="60"/>
      <c r="P713" s="60"/>
      <c r="Q713" s="60"/>
      <c r="R713" s="60"/>
      <c r="S713" s="60"/>
      <c r="T713" s="60"/>
      <c r="U713" s="60"/>
      <c r="V713" s="60"/>
      <c r="W713" s="60"/>
    </row>
    <row r="714" spans="7:23" x14ac:dyDescent="0.25">
      <c r="G714" s="60"/>
      <c r="H714" s="60"/>
      <c r="I714" s="60"/>
      <c r="J714" s="60"/>
      <c r="K714" s="60"/>
      <c r="L714" s="60"/>
      <c r="M714" s="60"/>
      <c r="N714" s="60"/>
      <c r="O714" s="60"/>
      <c r="P714" s="60"/>
      <c r="Q714" s="60"/>
      <c r="R714" s="60"/>
      <c r="S714" s="60"/>
      <c r="T714" s="60"/>
      <c r="U714" s="60"/>
      <c r="V714" s="60"/>
      <c r="W714" s="60"/>
    </row>
    <row r="715" spans="7:23" x14ac:dyDescent="0.25">
      <c r="G715" s="60"/>
      <c r="H715" s="60"/>
      <c r="I715" s="60"/>
      <c r="J715" s="60"/>
      <c r="K715" s="60"/>
      <c r="L715" s="60"/>
      <c r="M715" s="60"/>
      <c r="N715" s="60"/>
      <c r="O715" s="60"/>
      <c r="P715" s="60"/>
      <c r="Q715" s="60"/>
      <c r="R715" s="60"/>
      <c r="S715" s="60"/>
      <c r="T715" s="60"/>
      <c r="U715" s="60"/>
      <c r="V715" s="60"/>
      <c r="W715" s="60"/>
    </row>
    <row r="716" spans="7:23" x14ac:dyDescent="0.25">
      <c r="G716" s="60"/>
      <c r="H716" s="60"/>
      <c r="I716" s="60"/>
      <c r="J716" s="60"/>
      <c r="K716" s="60"/>
      <c r="L716" s="60"/>
      <c r="M716" s="60"/>
      <c r="N716" s="60"/>
      <c r="O716" s="60"/>
      <c r="P716" s="60"/>
      <c r="Q716" s="60"/>
      <c r="R716" s="60"/>
      <c r="S716" s="60"/>
      <c r="T716" s="60"/>
      <c r="U716" s="60"/>
      <c r="V716" s="60"/>
      <c r="W716" s="60"/>
    </row>
    <row r="717" spans="7:23" x14ac:dyDescent="0.25">
      <c r="G717" s="60"/>
      <c r="H717" s="60"/>
      <c r="I717" s="60"/>
      <c r="J717" s="60"/>
      <c r="K717" s="60"/>
      <c r="L717" s="60"/>
      <c r="M717" s="60"/>
      <c r="N717" s="60"/>
      <c r="O717" s="60"/>
      <c r="P717" s="60"/>
      <c r="Q717" s="60"/>
      <c r="R717" s="60"/>
      <c r="S717" s="60"/>
      <c r="T717" s="60"/>
      <c r="U717" s="60"/>
      <c r="V717" s="60"/>
      <c r="W717" s="60"/>
    </row>
    <row r="718" spans="7:23" x14ac:dyDescent="0.25">
      <c r="G718" s="60"/>
      <c r="H718" s="60"/>
      <c r="I718" s="60"/>
      <c r="J718" s="60"/>
      <c r="K718" s="60"/>
      <c r="L718" s="60"/>
      <c r="M718" s="60"/>
      <c r="N718" s="60"/>
      <c r="O718" s="60"/>
      <c r="P718" s="60"/>
      <c r="Q718" s="60"/>
      <c r="R718" s="60"/>
      <c r="S718" s="60"/>
      <c r="T718" s="60"/>
      <c r="U718" s="60"/>
      <c r="V718" s="60"/>
      <c r="W718" s="60"/>
    </row>
    <row r="719" spans="7:23" x14ac:dyDescent="0.25">
      <c r="G719" s="60"/>
      <c r="H719" s="60"/>
      <c r="I719" s="60"/>
      <c r="J719" s="60"/>
      <c r="K719" s="60"/>
      <c r="L719" s="60"/>
      <c r="M719" s="60"/>
      <c r="N719" s="60"/>
      <c r="O719" s="60"/>
      <c r="P719" s="60"/>
      <c r="Q719" s="60"/>
      <c r="R719" s="60"/>
      <c r="S719" s="60"/>
      <c r="T719" s="60"/>
      <c r="U719" s="60"/>
      <c r="V719" s="60"/>
      <c r="W719" s="60"/>
    </row>
    <row r="720" spans="7:23" x14ac:dyDescent="0.25">
      <c r="G720" s="60"/>
      <c r="H720" s="60"/>
      <c r="I720" s="60"/>
      <c r="J720" s="60"/>
      <c r="K720" s="60"/>
      <c r="L720" s="60"/>
      <c r="M720" s="60"/>
      <c r="N720" s="60"/>
      <c r="O720" s="60"/>
      <c r="P720" s="60"/>
      <c r="Q720" s="60"/>
      <c r="R720" s="60"/>
      <c r="S720" s="60"/>
      <c r="T720" s="60"/>
      <c r="U720" s="60"/>
      <c r="V720" s="60"/>
      <c r="W720" s="60"/>
    </row>
    <row r="721" spans="7:23" x14ac:dyDescent="0.25">
      <c r="G721" s="60"/>
      <c r="H721" s="60"/>
      <c r="I721" s="60"/>
      <c r="J721" s="60"/>
      <c r="K721" s="60"/>
      <c r="L721" s="60"/>
      <c r="M721" s="60"/>
      <c r="N721" s="60"/>
      <c r="O721" s="60"/>
      <c r="P721" s="60"/>
      <c r="Q721" s="60"/>
      <c r="R721" s="60"/>
      <c r="S721" s="60"/>
      <c r="T721" s="60"/>
      <c r="U721" s="60"/>
      <c r="V721" s="60"/>
      <c r="W721" s="60"/>
    </row>
    <row r="722" spans="7:23" x14ac:dyDescent="0.25">
      <c r="G722" s="60"/>
      <c r="H722" s="60"/>
      <c r="I722" s="60"/>
      <c r="J722" s="60"/>
      <c r="K722" s="60"/>
      <c r="L722" s="60"/>
      <c r="M722" s="60"/>
      <c r="N722" s="60"/>
      <c r="O722" s="60"/>
      <c r="P722" s="60"/>
      <c r="Q722" s="60"/>
      <c r="R722" s="60"/>
      <c r="S722" s="60"/>
      <c r="T722" s="60"/>
      <c r="U722" s="60"/>
      <c r="V722" s="60"/>
      <c r="W722" s="60"/>
    </row>
    <row r="723" spans="7:23" x14ac:dyDescent="0.25">
      <c r="G723" s="60"/>
      <c r="H723" s="60"/>
      <c r="I723" s="60"/>
      <c r="J723" s="60"/>
      <c r="K723" s="60"/>
      <c r="L723" s="60"/>
      <c r="M723" s="60"/>
      <c r="N723" s="60"/>
      <c r="O723" s="60"/>
      <c r="P723" s="60"/>
      <c r="Q723" s="60"/>
      <c r="R723" s="60"/>
      <c r="S723" s="60"/>
      <c r="T723" s="60"/>
      <c r="U723" s="60"/>
      <c r="V723" s="60"/>
      <c r="W723" s="60"/>
    </row>
    <row r="724" spans="7:23" x14ac:dyDescent="0.25">
      <c r="G724" s="60"/>
      <c r="H724" s="60"/>
      <c r="I724" s="60"/>
      <c r="J724" s="60"/>
      <c r="K724" s="60"/>
      <c r="L724" s="60"/>
      <c r="M724" s="60"/>
      <c r="N724" s="60"/>
      <c r="O724" s="60"/>
      <c r="P724" s="60"/>
      <c r="Q724" s="60"/>
      <c r="R724" s="60"/>
      <c r="S724" s="60"/>
      <c r="T724" s="60"/>
      <c r="U724" s="60"/>
      <c r="V724" s="60"/>
      <c r="W724" s="60"/>
    </row>
    <row r="725" spans="7:23" x14ac:dyDescent="0.25">
      <c r="G725" s="60"/>
      <c r="H725" s="60"/>
      <c r="I725" s="60"/>
      <c r="J725" s="60"/>
      <c r="K725" s="60"/>
      <c r="L725" s="60"/>
      <c r="M725" s="60"/>
      <c r="N725" s="60"/>
      <c r="O725" s="60"/>
      <c r="P725" s="60"/>
      <c r="Q725" s="60"/>
      <c r="R725" s="60"/>
      <c r="S725" s="60"/>
      <c r="T725" s="60"/>
      <c r="U725" s="60"/>
      <c r="V725" s="60"/>
      <c r="W725" s="60"/>
    </row>
    <row r="726" spans="7:23" x14ac:dyDescent="0.25">
      <c r="G726" s="60"/>
      <c r="H726" s="60"/>
      <c r="I726" s="60"/>
      <c r="J726" s="60"/>
      <c r="K726" s="60"/>
      <c r="L726" s="60"/>
      <c r="M726" s="60"/>
      <c r="N726" s="60"/>
      <c r="O726" s="60"/>
      <c r="P726" s="60"/>
      <c r="Q726" s="60"/>
      <c r="R726" s="60"/>
      <c r="S726" s="60"/>
      <c r="T726" s="60"/>
      <c r="U726" s="60"/>
      <c r="V726" s="60"/>
      <c r="W726" s="60"/>
    </row>
    <row r="727" spans="7:23" x14ac:dyDescent="0.25">
      <c r="G727" s="60"/>
      <c r="H727" s="60"/>
      <c r="I727" s="60"/>
      <c r="J727" s="60"/>
      <c r="K727" s="60"/>
      <c r="L727" s="60"/>
      <c r="M727" s="60"/>
      <c r="N727" s="60"/>
      <c r="O727" s="60"/>
      <c r="P727" s="60"/>
      <c r="Q727" s="60"/>
      <c r="R727" s="60"/>
      <c r="S727" s="60"/>
      <c r="T727" s="60"/>
      <c r="U727" s="60"/>
      <c r="V727" s="60"/>
      <c r="W727" s="60"/>
    </row>
    <row r="728" spans="7:23" x14ac:dyDescent="0.25">
      <c r="G728" s="60"/>
      <c r="H728" s="60"/>
      <c r="I728" s="60"/>
      <c r="J728" s="60"/>
      <c r="K728" s="60"/>
      <c r="L728" s="60"/>
      <c r="M728" s="60"/>
      <c r="N728" s="60"/>
      <c r="O728" s="60"/>
      <c r="P728" s="60"/>
      <c r="Q728" s="60"/>
      <c r="R728" s="60"/>
      <c r="S728" s="60"/>
      <c r="T728" s="60"/>
      <c r="U728" s="60"/>
      <c r="V728" s="60"/>
      <c r="W728" s="60"/>
    </row>
    <row r="729" spans="7:23" x14ac:dyDescent="0.25">
      <c r="G729" s="60"/>
      <c r="H729" s="60"/>
      <c r="I729" s="60"/>
      <c r="J729" s="60"/>
      <c r="K729" s="60"/>
      <c r="L729" s="60"/>
      <c r="M729" s="60"/>
      <c r="N729" s="60"/>
      <c r="O729" s="60"/>
      <c r="P729" s="60"/>
      <c r="Q729" s="60"/>
      <c r="R729" s="60"/>
      <c r="S729" s="60"/>
      <c r="T729" s="60"/>
      <c r="U729" s="60"/>
      <c r="V729" s="60"/>
      <c r="W729" s="60"/>
    </row>
    <row r="730" spans="7:23" x14ac:dyDescent="0.25">
      <c r="G730" s="60"/>
      <c r="H730" s="60"/>
      <c r="I730" s="60"/>
      <c r="J730" s="60"/>
      <c r="K730" s="60"/>
      <c r="L730" s="60"/>
      <c r="M730" s="60"/>
      <c r="N730" s="60"/>
      <c r="O730" s="60"/>
      <c r="P730" s="60"/>
      <c r="Q730" s="60"/>
      <c r="R730" s="60"/>
      <c r="S730" s="60"/>
      <c r="T730" s="60"/>
      <c r="U730" s="60"/>
      <c r="V730" s="60"/>
      <c r="W730" s="60"/>
    </row>
    <row r="731" spans="7:23" x14ac:dyDescent="0.25">
      <c r="G731" s="60"/>
      <c r="H731" s="60"/>
      <c r="I731" s="60"/>
      <c r="J731" s="60"/>
      <c r="K731" s="60"/>
      <c r="L731" s="60"/>
      <c r="M731" s="60"/>
      <c r="N731" s="60"/>
      <c r="O731" s="60"/>
      <c r="P731" s="60"/>
      <c r="Q731" s="60"/>
      <c r="R731" s="60"/>
      <c r="S731" s="60"/>
      <c r="T731" s="60"/>
      <c r="U731" s="60"/>
      <c r="V731" s="60"/>
      <c r="W731" s="60"/>
    </row>
    <row r="732" spans="7:23" x14ac:dyDescent="0.25">
      <c r="G732" s="60"/>
      <c r="H732" s="60"/>
      <c r="I732" s="60"/>
      <c r="J732" s="60"/>
      <c r="K732" s="60"/>
      <c r="L732" s="60"/>
      <c r="M732" s="60"/>
      <c r="N732" s="60"/>
      <c r="O732" s="60"/>
      <c r="P732" s="60"/>
      <c r="Q732" s="60"/>
      <c r="R732" s="60"/>
      <c r="S732" s="60"/>
      <c r="T732" s="60"/>
      <c r="U732" s="60"/>
      <c r="V732" s="60"/>
      <c r="W732" s="60"/>
    </row>
    <row r="733" spans="7:23" x14ac:dyDescent="0.25">
      <c r="G733" s="60"/>
      <c r="H733" s="60"/>
      <c r="I733" s="60"/>
      <c r="J733" s="60"/>
      <c r="K733" s="60"/>
      <c r="L733" s="60"/>
      <c r="M733" s="60"/>
      <c r="N733" s="60"/>
      <c r="O733" s="60"/>
      <c r="P733" s="60"/>
      <c r="Q733" s="60"/>
      <c r="R733" s="60"/>
      <c r="S733" s="60"/>
      <c r="T733" s="60"/>
      <c r="U733" s="60"/>
      <c r="V733" s="60"/>
      <c r="W733" s="60"/>
    </row>
    <row r="734" spans="7:23" x14ac:dyDescent="0.25">
      <c r="G734" s="60"/>
      <c r="H734" s="60"/>
      <c r="I734" s="60"/>
      <c r="J734" s="60"/>
      <c r="K734" s="60"/>
      <c r="L734" s="60"/>
      <c r="M734" s="60"/>
      <c r="N734" s="60"/>
      <c r="O734" s="60"/>
      <c r="P734" s="60"/>
      <c r="Q734" s="60"/>
      <c r="R734" s="60"/>
      <c r="S734" s="60"/>
      <c r="T734" s="60"/>
      <c r="U734" s="60"/>
      <c r="V734" s="60"/>
      <c r="W734" s="60"/>
    </row>
    <row r="735" spans="7:23" x14ac:dyDescent="0.25">
      <c r="G735" s="60"/>
      <c r="H735" s="60"/>
      <c r="I735" s="60"/>
      <c r="J735" s="60"/>
      <c r="K735" s="60"/>
      <c r="L735" s="60"/>
      <c r="M735" s="60"/>
      <c r="N735" s="60"/>
      <c r="O735" s="60"/>
      <c r="P735" s="60"/>
      <c r="Q735" s="60"/>
      <c r="R735" s="60"/>
      <c r="S735" s="60"/>
      <c r="T735" s="60"/>
      <c r="U735" s="60"/>
      <c r="V735" s="60"/>
      <c r="W735" s="60"/>
    </row>
    <row r="736" spans="7:23" x14ac:dyDescent="0.25">
      <c r="G736" s="60"/>
      <c r="H736" s="60"/>
      <c r="I736" s="60"/>
      <c r="J736" s="60"/>
      <c r="K736" s="60"/>
      <c r="L736" s="60"/>
      <c r="M736" s="60"/>
      <c r="N736" s="60"/>
      <c r="O736" s="60"/>
      <c r="P736" s="60"/>
      <c r="Q736" s="60"/>
      <c r="R736" s="60"/>
      <c r="S736" s="60"/>
      <c r="T736" s="60"/>
      <c r="U736" s="60"/>
      <c r="V736" s="60"/>
      <c r="W736" s="60"/>
    </row>
    <row r="737" spans="7:23" x14ac:dyDescent="0.25">
      <c r="G737" s="60"/>
      <c r="H737" s="60"/>
      <c r="I737" s="60"/>
      <c r="J737" s="60"/>
      <c r="K737" s="60"/>
      <c r="L737" s="60"/>
      <c r="M737" s="60"/>
      <c r="N737" s="60"/>
      <c r="O737" s="60"/>
      <c r="P737" s="60"/>
      <c r="Q737" s="60"/>
      <c r="R737" s="60"/>
      <c r="S737" s="60"/>
      <c r="T737" s="60"/>
      <c r="U737" s="60"/>
      <c r="V737" s="60"/>
      <c r="W737" s="60"/>
    </row>
    <row r="738" spans="7:23" x14ac:dyDescent="0.25">
      <c r="G738" s="60"/>
      <c r="H738" s="60"/>
      <c r="I738" s="60"/>
      <c r="J738" s="60"/>
      <c r="K738" s="60"/>
      <c r="L738" s="60"/>
      <c r="M738" s="60"/>
      <c r="N738" s="60"/>
      <c r="O738" s="60"/>
      <c r="P738" s="60"/>
      <c r="Q738" s="60"/>
      <c r="R738" s="60"/>
      <c r="S738" s="60"/>
      <c r="T738" s="60"/>
      <c r="U738" s="60"/>
      <c r="V738" s="60"/>
      <c r="W738" s="60"/>
    </row>
    <row r="739" spans="7:23" x14ac:dyDescent="0.25">
      <c r="G739" s="60"/>
      <c r="H739" s="60"/>
      <c r="I739" s="60"/>
      <c r="J739" s="60"/>
      <c r="K739" s="60"/>
      <c r="L739" s="60"/>
      <c r="M739" s="60"/>
      <c r="N739" s="60"/>
      <c r="O739" s="60"/>
      <c r="P739" s="60"/>
      <c r="Q739" s="60"/>
      <c r="R739" s="60"/>
      <c r="S739" s="60"/>
      <c r="T739" s="60"/>
      <c r="U739" s="60"/>
      <c r="V739" s="60"/>
      <c r="W739" s="60"/>
    </row>
    <row r="740" spans="7:23" x14ac:dyDescent="0.25">
      <c r="G740" s="60"/>
      <c r="H740" s="60"/>
      <c r="I740" s="60"/>
      <c r="J740" s="60"/>
      <c r="K740" s="60"/>
      <c r="L740" s="60"/>
      <c r="M740" s="60"/>
      <c r="N740" s="60"/>
      <c r="O740" s="60"/>
      <c r="P740" s="60"/>
      <c r="Q740" s="60"/>
      <c r="R740" s="60"/>
      <c r="S740" s="60"/>
      <c r="T740" s="60"/>
      <c r="U740" s="60"/>
      <c r="V740" s="60"/>
      <c r="W740" s="60"/>
    </row>
    <row r="741" spans="7:23" x14ac:dyDescent="0.25">
      <c r="G741" s="60"/>
      <c r="H741" s="60"/>
      <c r="I741" s="60"/>
      <c r="J741" s="60"/>
      <c r="K741" s="60"/>
      <c r="L741" s="60"/>
      <c r="M741" s="60"/>
      <c r="N741" s="60"/>
      <c r="O741" s="60"/>
      <c r="P741" s="60"/>
      <c r="Q741" s="60"/>
      <c r="R741" s="60"/>
      <c r="S741" s="60"/>
      <c r="T741" s="60"/>
      <c r="U741" s="60"/>
      <c r="V741" s="60"/>
      <c r="W741" s="60"/>
    </row>
    <row r="742" spans="7:23" x14ac:dyDescent="0.25">
      <c r="G742" s="60"/>
      <c r="H742" s="60"/>
      <c r="I742" s="60"/>
      <c r="J742" s="60"/>
      <c r="K742" s="60"/>
      <c r="L742" s="60"/>
      <c r="M742" s="60"/>
      <c r="N742" s="60"/>
      <c r="O742" s="60"/>
      <c r="P742" s="60"/>
      <c r="Q742" s="60"/>
      <c r="R742" s="60"/>
      <c r="S742" s="60"/>
      <c r="T742" s="60"/>
      <c r="U742" s="60"/>
      <c r="V742" s="60"/>
      <c r="W742" s="60"/>
    </row>
    <row r="743" spans="7:23" x14ac:dyDescent="0.25">
      <c r="G743" s="60"/>
      <c r="H743" s="60"/>
      <c r="I743" s="60"/>
      <c r="J743" s="60"/>
      <c r="K743" s="60"/>
      <c r="L743" s="60"/>
      <c r="M743" s="60"/>
      <c r="N743" s="60"/>
      <c r="O743" s="60"/>
      <c r="P743" s="60"/>
      <c r="Q743" s="60"/>
      <c r="R743" s="60"/>
      <c r="S743" s="60"/>
      <c r="T743" s="60"/>
      <c r="U743" s="60"/>
      <c r="V743" s="60"/>
      <c r="W743" s="60"/>
    </row>
    <row r="744" spans="7:23" x14ac:dyDescent="0.25">
      <c r="G744" s="60"/>
      <c r="H744" s="60"/>
      <c r="I744" s="60"/>
      <c r="J744" s="60"/>
      <c r="K744" s="60"/>
      <c r="L744" s="60"/>
      <c r="M744" s="60"/>
      <c r="N744" s="60"/>
      <c r="O744" s="60"/>
      <c r="P744" s="60"/>
      <c r="Q744" s="60"/>
      <c r="R744" s="60"/>
      <c r="S744" s="60"/>
      <c r="T744" s="60"/>
      <c r="U744" s="60"/>
      <c r="V744" s="60"/>
      <c r="W744" s="60"/>
    </row>
    <row r="745" spans="7:23" x14ac:dyDescent="0.25">
      <c r="G745" s="60"/>
      <c r="H745" s="60"/>
      <c r="I745" s="60"/>
      <c r="J745" s="60"/>
      <c r="K745" s="60"/>
      <c r="L745" s="60"/>
      <c r="M745" s="60"/>
      <c r="N745" s="60"/>
      <c r="O745" s="60"/>
      <c r="P745" s="60"/>
      <c r="Q745" s="60"/>
      <c r="R745" s="60"/>
      <c r="S745" s="60"/>
      <c r="T745" s="60"/>
      <c r="U745" s="60"/>
      <c r="V745" s="60"/>
      <c r="W745" s="60"/>
    </row>
    <row r="746" spans="7:23" x14ac:dyDescent="0.25">
      <c r="G746" s="60"/>
      <c r="H746" s="60"/>
      <c r="I746" s="60"/>
      <c r="J746" s="60"/>
      <c r="K746" s="60"/>
      <c r="L746" s="60"/>
      <c r="M746" s="60"/>
      <c r="N746" s="60"/>
      <c r="O746" s="60"/>
      <c r="P746" s="60"/>
      <c r="Q746" s="60"/>
      <c r="R746" s="60"/>
      <c r="S746" s="60"/>
      <c r="T746" s="60"/>
      <c r="U746" s="60"/>
      <c r="V746" s="60"/>
      <c r="W746" s="60"/>
    </row>
    <row r="747" spans="7:23" x14ac:dyDescent="0.25">
      <c r="G747" s="60"/>
      <c r="H747" s="60"/>
      <c r="I747" s="60"/>
      <c r="J747" s="60"/>
      <c r="K747" s="60"/>
      <c r="L747" s="60"/>
      <c r="M747" s="60"/>
      <c r="N747" s="60"/>
      <c r="O747" s="60"/>
      <c r="P747" s="60"/>
      <c r="Q747" s="60"/>
      <c r="R747" s="60"/>
      <c r="S747" s="60"/>
      <c r="T747" s="60"/>
      <c r="U747" s="60"/>
      <c r="V747" s="60"/>
      <c r="W747" s="60"/>
    </row>
    <row r="748" spans="7:23" x14ac:dyDescent="0.25">
      <c r="G748" s="60"/>
      <c r="H748" s="60"/>
      <c r="I748" s="60"/>
      <c r="J748" s="60"/>
      <c r="K748" s="60"/>
      <c r="L748" s="60"/>
      <c r="M748" s="60"/>
      <c r="N748" s="60"/>
      <c r="O748" s="60"/>
      <c r="P748" s="60"/>
      <c r="Q748" s="60"/>
      <c r="R748" s="60"/>
      <c r="S748" s="60"/>
      <c r="T748" s="60"/>
      <c r="U748" s="60"/>
      <c r="V748" s="60"/>
      <c r="W748" s="60"/>
    </row>
    <row r="749" spans="7:23" x14ac:dyDescent="0.25">
      <c r="G749" s="60"/>
      <c r="H749" s="60"/>
      <c r="I749" s="60"/>
      <c r="J749" s="60"/>
      <c r="K749" s="60"/>
      <c r="L749" s="60"/>
      <c r="M749" s="60"/>
      <c r="N749" s="60"/>
      <c r="O749" s="60"/>
      <c r="P749" s="60"/>
      <c r="Q749" s="60"/>
      <c r="R749" s="60"/>
      <c r="S749" s="60"/>
      <c r="T749" s="60"/>
      <c r="U749" s="60"/>
      <c r="V749" s="60"/>
      <c r="W749" s="60"/>
    </row>
    <row r="750" spans="7:23" x14ac:dyDescent="0.25">
      <c r="G750" s="60"/>
      <c r="H750" s="60"/>
      <c r="I750" s="60"/>
      <c r="J750" s="60"/>
      <c r="K750" s="60"/>
      <c r="L750" s="60"/>
      <c r="M750" s="60"/>
      <c r="N750" s="60"/>
      <c r="O750" s="60"/>
      <c r="P750" s="60"/>
      <c r="Q750" s="60"/>
      <c r="R750" s="60"/>
      <c r="S750" s="60"/>
      <c r="T750" s="60"/>
      <c r="U750" s="60"/>
      <c r="V750" s="60"/>
      <c r="W750" s="60"/>
    </row>
    <row r="751" spans="7:23" x14ac:dyDescent="0.25">
      <c r="G751" s="60"/>
      <c r="H751" s="60"/>
      <c r="I751" s="60"/>
      <c r="J751" s="60"/>
      <c r="K751" s="60"/>
      <c r="L751" s="60"/>
      <c r="M751" s="60"/>
      <c r="N751" s="60"/>
      <c r="O751" s="60"/>
      <c r="P751" s="60"/>
      <c r="Q751" s="60"/>
      <c r="R751" s="60"/>
      <c r="S751" s="60"/>
      <c r="T751" s="60"/>
      <c r="U751" s="60"/>
      <c r="V751" s="60"/>
      <c r="W751" s="60"/>
    </row>
    <row r="752" spans="7:23" x14ac:dyDescent="0.25">
      <c r="G752" s="60"/>
      <c r="H752" s="60"/>
      <c r="I752" s="60"/>
      <c r="J752" s="60"/>
      <c r="K752" s="60"/>
      <c r="L752" s="60"/>
      <c r="M752" s="60"/>
      <c r="N752" s="60"/>
      <c r="O752" s="60"/>
      <c r="P752" s="60"/>
      <c r="Q752" s="60"/>
      <c r="R752" s="60"/>
      <c r="S752" s="60"/>
      <c r="T752" s="60"/>
      <c r="U752" s="60"/>
      <c r="V752" s="60"/>
      <c r="W752" s="60"/>
    </row>
    <row r="753" spans="7:23" x14ac:dyDescent="0.25">
      <c r="G753" s="60"/>
      <c r="H753" s="60"/>
      <c r="I753" s="60"/>
      <c r="J753" s="60"/>
      <c r="K753" s="60"/>
      <c r="L753" s="60"/>
      <c r="M753" s="60"/>
      <c r="N753" s="60"/>
      <c r="O753" s="60"/>
      <c r="P753" s="60"/>
      <c r="Q753" s="60"/>
      <c r="R753" s="60"/>
      <c r="S753" s="60"/>
      <c r="T753" s="60"/>
      <c r="U753" s="60"/>
      <c r="V753" s="60"/>
      <c r="W753" s="60"/>
    </row>
    <row r="754" spans="7:23" x14ac:dyDescent="0.25">
      <c r="G754" s="60"/>
      <c r="H754" s="60"/>
      <c r="I754" s="60"/>
      <c r="J754" s="60"/>
      <c r="K754" s="60"/>
      <c r="L754" s="60"/>
      <c r="M754" s="60"/>
      <c r="N754" s="60"/>
      <c r="O754" s="60"/>
      <c r="P754" s="60"/>
      <c r="Q754" s="60"/>
      <c r="R754" s="60"/>
      <c r="S754" s="60"/>
      <c r="T754" s="60"/>
      <c r="U754" s="60"/>
      <c r="V754" s="60"/>
      <c r="W754" s="60"/>
    </row>
    <row r="755" spans="7:23" x14ac:dyDescent="0.25">
      <c r="G755" s="60"/>
      <c r="H755" s="60"/>
      <c r="I755" s="60"/>
      <c r="J755" s="60"/>
      <c r="K755" s="60"/>
      <c r="L755" s="60"/>
      <c r="M755" s="60"/>
      <c r="N755" s="60"/>
      <c r="O755" s="60"/>
      <c r="P755" s="60"/>
      <c r="Q755" s="60"/>
      <c r="R755" s="60"/>
      <c r="S755" s="60"/>
      <c r="T755" s="60"/>
      <c r="U755" s="60"/>
      <c r="V755" s="60"/>
      <c r="W755" s="60"/>
    </row>
    <row r="756" spans="7:23" x14ac:dyDescent="0.25">
      <c r="G756" s="60"/>
      <c r="H756" s="60"/>
      <c r="I756" s="60"/>
      <c r="J756" s="60"/>
      <c r="K756" s="60"/>
      <c r="L756" s="60"/>
      <c r="M756" s="60"/>
      <c r="N756" s="60"/>
      <c r="O756" s="60"/>
      <c r="P756" s="60"/>
      <c r="Q756" s="60"/>
      <c r="R756" s="60"/>
      <c r="S756" s="60"/>
      <c r="T756" s="60"/>
      <c r="U756" s="60"/>
      <c r="V756" s="60"/>
      <c r="W756" s="60"/>
    </row>
    <row r="757" spans="7:23" x14ac:dyDescent="0.25">
      <c r="G757" s="60"/>
      <c r="H757" s="60"/>
      <c r="I757" s="60"/>
      <c r="J757" s="60"/>
      <c r="K757" s="60"/>
      <c r="L757" s="60"/>
      <c r="M757" s="60"/>
      <c r="N757" s="60"/>
      <c r="O757" s="60"/>
      <c r="P757" s="60"/>
      <c r="Q757" s="60"/>
      <c r="R757" s="60"/>
      <c r="S757" s="60"/>
      <c r="T757" s="60"/>
      <c r="U757" s="60"/>
      <c r="V757" s="60"/>
      <c r="W757" s="60"/>
    </row>
    <row r="758" spans="7:23" x14ac:dyDescent="0.25">
      <c r="G758" s="60"/>
      <c r="H758" s="60"/>
      <c r="I758" s="60"/>
      <c r="J758" s="60"/>
      <c r="K758" s="60"/>
      <c r="L758" s="60"/>
      <c r="M758" s="60"/>
      <c r="N758" s="60"/>
      <c r="O758" s="60"/>
      <c r="P758" s="60"/>
      <c r="Q758" s="60"/>
      <c r="R758" s="60"/>
      <c r="S758" s="60"/>
      <c r="T758" s="60"/>
      <c r="U758" s="60"/>
      <c r="V758" s="60"/>
      <c r="W758" s="60"/>
    </row>
    <row r="759" spans="7:23" x14ac:dyDescent="0.25">
      <c r="G759" s="60"/>
      <c r="H759" s="60"/>
      <c r="I759" s="60"/>
      <c r="J759" s="60"/>
      <c r="K759" s="60"/>
      <c r="L759" s="60"/>
      <c r="M759" s="60"/>
      <c r="N759" s="60"/>
      <c r="O759" s="60"/>
      <c r="P759" s="60"/>
      <c r="Q759" s="60"/>
      <c r="R759" s="60"/>
      <c r="S759" s="60"/>
      <c r="T759" s="60"/>
      <c r="U759" s="60"/>
      <c r="V759" s="60"/>
      <c r="W759" s="60"/>
    </row>
    <row r="760" spans="7:23" x14ac:dyDescent="0.25">
      <c r="G760" s="60"/>
      <c r="H760" s="60"/>
      <c r="I760" s="60"/>
      <c r="J760" s="60"/>
      <c r="K760" s="60"/>
      <c r="L760" s="60"/>
      <c r="M760" s="60"/>
      <c r="N760" s="60"/>
      <c r="O760" s="60"/>
      <c r="P760" s="60"/>
      <c r="Q760" s="60"/>
      <c r="R760" s="60"/>
      <c r="S760" s="60"/>
      <c r="T760" s="60"/>
      <c r="U760" s="60"/>
      <c r="V760" s="60"/>
      <c r="W760" s="60"/>
    </row>
    <row r="761" spans="7:23" x14ac:dyDescent="0.25">
      <c r="G761" s="60"/>
      <c r="H761" s="60"/>
      <c r="I761" s="60"/>
      <c r="J761" s="60"/>
      <c r="K761" s="60"/>
      <c r="L761" s="60"/>
      <c r="M761" s="60"/>
      <c r="N761" s="60"/>
      <c r="O761" s="60"/>
      <c r="P761" s="60"/>
      <c r="Q761" s="60"/>
      <c r="R761" s="60"/>
      <c r="S761" s="60"/>
      <c r="T761" s="60"/>
      <c r="U761" s="60"/>
      <c r="V761" s="60"/>
      <c r="W761" s="60"/>
    </row>
    <row r="762" spans="7:23" x14ac:dyDescent="0.25">
      <c r="G762" s="60"/>
      <c r="H762" s="60"/>
      <c r="I762" s="60"/>
      <c r="J762" s="60"/>
      <c r="K762" s="60"/>
      <c r="L762" s="60"/>
      <c r="M762" s="60"/>
      <c r="N762" s="60"/>
      <c r="O762" s="60"/>
      <c r="P762" s="60"/>
      <c r="Q762" s="60"/>
      <c r="R762" s="60"/>
      <c r="S762" s="60"/>
      <c r="T762" s="60"/>
      <c r="U762" s="60"/>
      <c r="V762" s="60"/>
      <c r="W762" s="60"/>
    </row>
    <row r="763" spans="7:23" x14ac:dyDescent="0.25">
      <c r="G763" s="60"/>
      <c r="H763" s="60"/>
      <c r="I763" s="60"/>
      <c r="J763" s="60"/>
      <c r="K763" s="60"/>
      <c r="L763" s="60"/>
      <c r="M763" s="60"/>
      <c r="N763" s="60"/>
      <c r="O763" s="60"/>
      <c r="P763" s="60"/>
      <c r="Q763" s="60"/>
      <c r="R763" s="60"/>
      <c r="S763" s="60"/>
      <c r="T763" s="60"/>
      <c r="U763" s="60"/>
      <c r="V763" s="60"/>
      <c r="W763" s="60"/>
    </row>
    <row r="764" spans="7:23" x14ac:dyDescent="0.25">
      <c r="G764" s="60"/>
      <c r="H764" s="60"/>
      <c r="I764" s="60"/>
      <c r="J764" s="60"/>
      <c r="K764" s="60"/>
      <c r="L764" s="60"/>
      <c r="M764" s="60"/>
      <c r="N764" s="60"/>
      <c r="O764" s="60"/>
      <c r="P764" s="60"/>
      <c r="Q764" s="60"/>
      <c r="R764" s="60"/>
      <c r="S764" s="60"/>
      <c r="T764" s="60"/>
      <c r="U764" s="60"/>
      <c r="V764" s="60"/>
      <c r="W764" s="60"/>
    </row>
    <row r="765" spans="7:23" x14ac:dyDescent="0.25">
      <c r="G765" s="60"/>
      <c r="H765" s="60"/>
      <c r="I765" s="60"/>
      <c r="J765" s="60"/>
      <c r="K765" s="60"/>
      <c r="L765" s="60"/>
      <c r="M765" s="60"/>
      <c r="N765" s="60"/>
      <c r="O765" s="60"/>
      <c r="P765" s="60"/>
      <c r="Q765" s="60"/>
      <c r="R765" s="60"/>
      <c r="S765" s="60"/>
      <c r="T765" s="60"/>
      <c r="U765" s="60"/>
      <c r="V765" s="60"/>
      <c r="W765" s="60"/>
    </row>
    <row r="766" spans="7:23" x14ac:dyDescent="0.25">
      <c r="G766" s="60"/>
      <c r="H766" s="60"/>
      <c r="I766" s="60"/>
      <c r="J766" s="60"/>
      <c r="K766" s="60"/>
      <c r="L766" s="60"/>
      <c r="M766" s="60"/>
      <c r="N766" s="60"/>
      <c r="O766" s="60"/>
      <c r="P766" s="60"/>
      <c r="Q766" s="60"/>
      <c r="R766" s="60"/>
      <c r="S766" s="60"/>
      <c r="T766" s="60"/>
      <c r="U766" s="60"/>
      <c r="V766" s="60"/>
      <c r="W766" s="60"/>
    </row>
    <row r="767" spans="7:23" x14ac:dyDescent="0.25">
      <c r="G767" s="60"/>
      <c r="H767" s="60"/>
      <c r="I767" s="60"/>
      <c r="J767" s="60"/>
      <c r="K767" s="60"/>
      <c r="L767" s="60"/>
      <c r="M767" s="60"/>
      <c r="N767" s="60"/>
      <c r="O767" s="60"/>
      <c r="P767" s="60"/>
      <c r="Q767" s="60"/>
      <c r="R767" s="60"/>
      <c r="S767" s="60"/>
      <c r="T767" s="60"/>
      <c r="U767" s="60"/>
      <c r="V767" s="60"/>
      <c r="W767" s="60"/>
    </row>
    <row r="768" spans="7:23" x14ac:dyDescent="0.25">
      <c r="G768" s="60"/>
      <c r="H768" s="60"/>
      <c r="I768" s="60"/>
      <c r="J768" s="60"/>
      <c r="K768" s="60"/>
      <c r="L768" s="60"/>
      <c r="M768" s="60"/>
      <c r="N768" s="60"/>
      <c r="O768" s="60"/>
      <c r="P768" s="60"/>
      <c r="Q768" s="60"/>
      <c r="R768" s="60"/>
      <c r="S768" s="60"/>
      <c r="T768" s="60"/>
      <c r="U768" s="60"/>
      <c r="V768" s="60"/>
      <c r="W768" s="60"/>
    </row>
    <row r="769" spans="7:23" x14ac:dyDescent="0.25">
      <c r="G769" s="60"/>
      <c r="H769" s="60"/>
      <c r="I769" s="60"/>
      <c r="J769" s="60"/>
      <c r="K769" s="60"/>
      <c r="L769" s="60"/>
      <c r="M769" s="60"/>
      <c r="N769" s="60"/>
      <c r="O769" s="60"/>
      <c r="P769" s="60"/>
      <c r="Q769" s="60"/>
      <c r="R769" s="60"/>
      <c r="S769" s="60"/>
      <c r="T769" s="60"/>
      <c r="U769" s="60"/>
      <c r="V769" s="60"/>
      <c r="W769" s="60"/>
    </row>
    <row r="770" spans="7:23" x14ac:dyDescent="0.25">
      <c r="G770" s="60"/>
      <c r="H770" s="60"/>
      <c r="I770" s="60"/>
      <c r="J770" s="60"/>
      <c r="K770" s="60"/>
      <c r="L770" s="60"/>
      <c r="M770" s="60"/>
      <c r="N770" s="60"/>
      <c r="O770" s="60"/>
      <c r="P770" s="60"/>
      <c r="Q770" s="60"/>
      <c r="R770" s="60"/>
      <c r="S770" s="60"/>
      <c r="T770" s="60"/>
      <c r="U770" s="60"/>
      <c r="V770" s="60"/>
      <c r="W770" s="60"/>
    </row>
    <row r="771" spans="7:23" x14ac:dyDescent="0.25">
      <c r="G771" s="60"/>
      <c r="H771" s="60"/>
      <c r="I771" s="60"/>
      <c r="J771" s="60"/>
      <c r="K771" s="60"/>
      <c r="L771" s="60"/>
      <c r="M771" s="60"/>
      <c r="N771" s="60"/>
      <c r="O771" s="60"/>
      <c r="P771" s="60"/>
      <c r="Q771" s="60"/>
      <c r="R771" s="60"/>
      <c r="S771" s="60"/>
      <c r="T771" s="60"/>
      <c r="U771" s="60"/>
      <c r="V771" s="60"/>
      <c r="W771" s="60"/>
    </row>
    <row r="772" spans="7:23" x14ac:dyDescent="0.25">
      <c r="G772" s="60"/>
      <c r="H772" s="60"/>
      <c r="I772" s="60"/>
      <c r="J772" s="60"/>
      <c r="K772" s="60"/>
      <c r="L772" s="60"/>
      <c r="M772" s="60"/>
      <c r="N772" s="60"/>
      <c r="O772" s="60"/>
      <c r="P772" s="60"/>
      <c r="Q772" s="60"/>
      <c r="R772" s="60"/>
      <c r="S772" s="60"/>
      <c r="T772" s="60"/>
      <c r="U772" s="60"/>
      <c r="V772" s="60"/>
      <c r="W772" s="60"/>
    </row>
    <row r="773" spans="7:23" x14ac:dyDescent="0.25">
      <c r="G773" s="60"/>
      <c r="H773" s="60"/>
      <c r="I773" s="60"/>
      <c r="J773" s="60"/>
      <c r="K773" s="60"/>
      <c r="L773" s="60"/>
      <c r="M773" s="60"/>
      <c r="N773" s="60"/>
      <c r="O773" s="60"/>
      <c r="P773" s="60"/>
      <c r="Q773" s="60"/>
      <c r="R773" s="60"/>
      <c r="S773" s="60"/>
      <c r="T773" s="60"/>
      <c r="U773" s="60"/>
      <c r="V773" s="60"/>
      <c r="W773" s="60"/>
    </row>
    <row r="774" spans="7:23" x14ac:dyDescent="0.25">
      <c r="G774" s="60"/>
      <c r="H774" s="60"/>
      <c r="I774" s="60"/>
      <c r="J774" s="60"/>
      <c r="K774" s="60"/>
      <c r="L774" s="60"/>
      <c r="M774" s="60"/>
      <c r="N774" s="60"/>
      <c r="O774" s="60"/>
      <c r="P774" s="60"/>
      <c r="Q774" s="60"/>
      <c r="R774" s="60"/>
      <c r="S774" s="60"/>
      <c r="T774" s="60"/>
      <c r="U774" s="60"/>
      <c r="V774" s="60"/>
      <c r="W774" s="60"/>
    </row>
    <row r="775" spans="7:23" x14ac:dyDescent="0.25">
      <c r="G775" s="60"/>
      <c r="H775" s="60"/>
      <c r="I775" s="60"/>
      <c r="J775" s="60"/>
      <c r="K775" s="60"/>
      <c r="L775" s="60"/>
      <c r="M775" s="60"/>
      <c r="N775" s="60"/>
      <c r="O775" s="60"/>
      <c r="P775" s="60"/>
      <c r="Q775" s="60"/>
      <c r="R775" s="60"/>
      <c r="S775" s="60"/>
      <c r="T775" s="60"/>
      <c r="U775" s="60"/>
      <c r="V775" s="60"/>
      <c r="W775" s="60"/>
    </row>
    <row r="776" spans="7:23" x14ac:dyDescent="0.25">
      <c r="G776" s="60"/>
      <c r="H776" s="60"/>
      <c r="I776" s="60"/>
      <c r="J776" s="60"/>
      <c r="K776" s="60"/>
      <c r="L776" s="60"/>
      <c r="M776" s="60"/>
      <c r="N776" s="60"/>
      <c r="O776" s="60"/>
      <c r="P776" s="60"/>
      <c r="Q776" s="60"/>
      <c r="R776" s="60"/>
      <c r="S776" s="60"/>
      <c r="T776" s="60"/>
      <c r="U776" s="60"/>
      <c r="V776" s="60"/>
      <c r="W776" s="60"/>
    </row>
    <row r="777" spans="7:23" x14ac:dyDescent="0.25">
      <c r="G777" s="60"/>
      <c r="H777" s="60"/>
      <c r="I777" s="60"/>
      <c r="J777" s="60"/>
      <c r="K777" s="60"/>
      <c r="L777" s="60"/>
      <c r="M777" s="60"/>
      <c r="N777" s="60"/>
      <c r="O777" s="60"/>
      <c r="P777" s="60"/>
      <c r="Q777" s="60"/>
      <c r="R777" s="60"/>
      <c r="S777" s="60"/>
      <c r="T777" s="60"/>
      <c r="U777" s="60"/>
      <c r="V777" s="60"/>
      <c r="W777" s="60"/>
    </row>
    <row r="778" spans="7:23" x14ac:dyDescent="0.25">
      <c r="G778" s="60"/>
      <c r="H778" s="60"/>
      <c r="I778" s="60"/>
      <c r="J778" s="60"/>
      <c r="K778" s="60"/>
      <c r="L778" s="60"/>
      <c r="M778" s="60"/>
      <c r="N778" s="60"/>
      <c r="O778" s="60"/>
      <c r="P778" s="60"/>
      <c r="Q778" s="60"/>
      <c r="R778" s="60"/>
      <c r="S778" s="60"/>
      <c r="T778" s="60"/>
      <c r="U778" s="60"/>
      <c r="V778" s="60"/>
      <c r="W778" s="60"/>
    </row>
    <row r="779" spans="7:23" x14ac:dyDescent="0.25">
      <c r="G779" s="60"/>
      <c r="H779" s="60"/>
      <c r="I779" s="60"/>
      <c r="J779" s="60"/>
      <c r="K779" s="60"/>
      <c r="L779" s="60"/>
      <c r="M779" s="60"/>
      <c r="N779" s="60"/>
      <c r="O779" s="60"/>
      <c r="P779" s="60"/>
      <c r="Q779" s="60"/>
      <c r="R779" s="60"/>
      <c r="S779" s="60"/>
      <c r="T779" s="60"/>
      <c r="U779" s="60"/>
      <c r="V779" s="60"/>
      <c r="W779" s="60"/>
    </row>
    <row r="780" spans="7:23" x14ac:dyDescent="0.25">
      <c r="G780" s="60"/>
      <c r="H780" s="60"/>
      <c r="I780" s="60"/>
      <c r="J780" s="60"/>
      <c r="K780" s="60"/>
      <c r="L780" s="60"/>
      <c r="M780" s="60"/>
      <c r="N780" s="60"/>
      <c r="O780" s="60"/>
      <c r="P780" s="60"/>
      <c r="Q780" s="60"/>
      <c r="R780" s="60"/>
      <c r="S780" s="60"/>
      <c r="T780" s="60"/>
      <c r="U780" s="60"/>
      <c r="V780" s="60"/>
      <c r="W780" s="60"/>
    </row>
    <row r="781" spans="7:23" x14ac:dyDescent="0.25">
      <c r="G781" s="60"/>
      <c r="H781" s="60"/>
      <c r="I781" s="60"/>
      <c r="J781" s="60"/>
      <c r="K781" s="60"/>
      <c r="L781" s="60"/>
      <c r="M781" s="60"/>
      <c r="N781" s="60"/>
      <c r="O781" s="60"/>
      <c r="P781" s="60"/>
      <c r="Q781" s="60"/>
      <c r="R781" s="60"/>
      <c r="S781" s="60"/>
      <c r="T781" s="60"/>
      <c r="U781" s="60"/>
      <c r="V781" s="60"/>
      <c r="W781" s="60"/>
    </row>
    <row r="782" spans="7:23" x14ac:dyDescent="0.25">
      <c r="G782" s="60"/>
      <c r="H782" s="60"/>
      <c r="I782" s="60"/>
      <c r="J782" s="60"/>
      <c r="K782" s="60"/>
      <c r="L782" s="60"/>
      <c r="M782" s="60"/>
      <c r="N782" s="60"/>
      <c r="O782" s="60"/>
      <c r="P782" s="60"/>
      <c r="Q782" s="60"/>
      <c r="R782" s="60"/>
      <c r="S782" s="60"/>
      <c r="T782" s="60"/>
      <c r="U782" s="60"/>
      <c r="V782" s="60"/>
      <c r="W782" s="60"/>
    </row>
    <row r="783" spans="7:23" x14ac:dyDescent="0.25">
      <c r="G783" s="60"/>
      <c r="H783" s="60"/>
      <c r="I783" s="60"/>
      <c r="J783" s="60"/>
      <c r="K783" s="60"/>
      <c r="L783" s="60"/>
      <c r="M783" s="60"/>
      <c r="N783" s="60"/>
      <c r="O783" s="60"/>
      <c r="P783" s="60"/>
      <c r="Q783" s="60"/>
      <c r="R783" s="60"/>
      <c r="S783" s="60"/>
      <c r="T783" s="60"/>
      <c r="U783" s="60"/>
      <c r="V783" s="60"/>
      <c r="W783" s="60"/>
    </row>
    <row r="784" spans="7:23" x14ac:dyDescent="0.25">
      <c r="G784" s="60"/>
      <c r="H784" s="60"/>
      <c r="I784" s="60"/>
      <c r="J784" s="60"/>
      <c r="K784" s="60"/>
      <c r="L784" s="60"/>
      <c r="M784" s="60"/>
      <c r="N784" s="60"/>
      <c r="O784" s="60"/>
      <c r="P784" s="60"/>
      <c r="Q784" s="60"/>
      <c r="R784" s="60"/>
      <c r="S784" s="60"/>
      <c r="T784" s="60"/>
      <c r="U784" s="60"/>
      <c r="V784" s="60"/>
      <c r="W784" s="60"/>
    </row>
    <row r="785" spans="7:23" x14ac:dyDescent="0.25">
      <c r="G785" s="60"/>
      <c r="H785" s="60"/>
      <c r="I785" s="60"/>
      <c r="J785" s="60"/>
      <c r="K785" s="60"/>
      <c r="L785" s="60"/>
      <c r="M785" s="60"/>
      <c r="N785" s="60"/>
      <c r="O785" s="60"/>
      <c r="P785" s="60"/>
      <c r="Q785" s="60"/>
      <c r="R785" s="60"/>
      <c r="S785" s="60"/>
      <c r="T785" s="60"/>
      <c r="U785" s="60"/>
      <c r="V785" s="60"/>
      <c r="W785" s="60"/>
    </row>
    <row r="786" spans="7:23" x14ac:dyDescent="0.25">
      <c r="G786" s="60"/>
      <c r="H786" s="60"/>
      <c r="I786" s="60"/>
      <c r="J786" s="60"/>
      <c r="K786" s="60"/>
      <c r="L786" s="60"/>
      <c r="M786" s="60"/>
      <c r="N786" s="60"/>
      <c r="O786" s="60"/>
      <c r="P786" s="60"/>
      <c r="Q786" s="60"/>
      <c r="R786" s="60"/>
      <c r="S786" s="60"/>
      <c r="T786" s="60"/>
      <c r="U786" s="60"/>
      <c r="V786" s="60"/>
      <c r="W786" s="60"/>
    </row>
    <row r="787" spans="7:23" x14ac:dyDescent="0.25">
      <c r="G787" s="60"/>
      <c r="H787" s="60"/>
      <c r="I787" s="60"/>
      <c r="J787" s="60"/>
      <c r="K787" s="60"/>
      <c r="L787" s="60"/>
      <c r="M787" s="60"/>
      <c r="N787" s="60"/>
      <c r="O787" s="60"/>
      <c r="P787" s="60"/>
      <c r="Q787" s="60"/>
      <c r="R787" s="60"/>
      <c r="S787" s="60"/>
      <c r="T787" s="60"/>
      <c r="U787" s="60"/>
      <c r="V787" s="60"/>
      <c r="W787" s="60"/>
    </row>
    <row r="788" spans="7:23" x14ac:dyDescent="0.25">
      <c r="G788" s="60"/>
      <c r="H788" s="60"/>
      <c r="I788" s="60"/>
      <c r="J788" s="60"/>
      <c r="K788" s="60"/>
      <c r="L788" s="60"/>
      <c r="M788" s="60"/>
      <c r="N788" s="60"/>
      <c r="O788" s="60"/>
      <c r="P788" s="60"/>
      <c r="Q788" s="60"/>
      <c r="R788" s="60"/>
      <c r="S788" s="60"/>
      <c r="T788" s="60"/>
      <c r="U788" s="60"/>
      <c r="V788" s="60"/>
      <c r="W788" s="60"/>
    </row>
    <row r="789" spans="7:23" x14ac:dyDescent="0.25">
      <c r="G789" s="60"/>
      <c r="H789" s="60"/>
      <c r="I789" s="60"/>
      <c r="J789" s="60"/>
      <c r="K789" s="60"/>
      <c r="L789" s="60"/>
      <c r="M789" s="60"/>
      <c r="N789" s="60"/>
      <c r="O789" s="60"/>
      <c r="P789" s="60"/>
      <c r="Q789" s="60"/>
      <c r="R789" s="60"/>
      <c r="S789" s="60"/>
      <c r="T789" s="60"/>
      <c r="U789" s="60"/>
      <c r="V789" s="60"/>
      <c r="W789" s="60"/>
    </row>
    <row r="790" spans="7:23" x14ac:dyDescent="0.25">
      <c r="G790" s="60"/>
      <c r="H790" s="60"/>
      <c r="I790" s="60"/>
      <c r="J790" s="60"/>
      <c r="K790" s="60"/>
      <c r="L790" s="60"/>
      <c r="M790" s="60"/>
      <c r="N790" s="60"/>
      <c r="O790" s="60"/>
      <c r="P790" s="60"/>
      <c r="Q790" s="60"/>
      <c r="R790" s="60"/>
      <c r="S790" s="60"/>
      <c r="T790" s="60"/>
      <c r="U790" s="60"/>
      <c r="V790" s="60"/>
      <c r="W790" s="60"/>
    </row>
    <row r="791" spans="7:23" x14ac:dyDescent="0.25">
      <c r="G791" s="60"/>
      <c r="H791" s="60"/>
      <c r="I791" s="60"/>
      <c r="J791" s="60"/>
      <c r="K791" s="60"/>
      <c r="L791" s="60"/>
      <c r="M791" s="60"/>
      <c r="N791" s="60"/>
      <c r="O791" s="60"/>
      <c r="P791" s="60"/>
      <c r="Q791" s="60"/>
      <c r="R791" s="60"/>
      <c r="S791" s="60"/>
      <c r="T791" s="60"/>
      <c r="U791" s="60"/>
      <c r="V791" s="60"/>
      <c r="W791" s="60"/>
    </row>
    <row r="792" spans="7:23" x14ac:dyDescent="0.25">
      <c r="G792" s="60"/>
      <c r="H792" s="60"/>
      <c r="I792" s="60"/>
      <c r="J792" s="60"/>
      <c r="K792" s="60"/>
      <c r="L792" s="60"/>
      <c r="M792" s="60"/>
      <c r="N792" s="60"/>
      <c r="O792" s="60"/>
      <c r="P792" s="60"/>
      <c r="Q792" s="60"/>
      <c r="R792" s="60"/>
      <c r="S792" s="60"/>
      <c r="T792" s="60"/>
      <c r="U792" s="60"/>
      <c r="V792" s="60"/>
      <c r="W792" s="60"/>
    </row>
    <row r="793" spans="7:23" x14ac:dyDescent="0.25">
      <c r="G793" s="60"/>
      <c r="H793" s="60"/>
      <c r="I793" s="60"/>
      <c r="J793" s="60"/>
      <c r="K793" s="60"/>
      <c r="L793" s="60"/>
      <c r="M793" s="60"/>
      <c r="N793" s="60"/>
      <c r="O793" s="60"/>
      <c r="P793" s="60"/>
      <c r="Q793" s="60"/>
      <c r="R793" s="60"/>
      <c r="S793" s="60"/>
      <c r="T793" s="60"/>
      <c r="U793" s="60"/>
      <c r="V793" s="60"/>
      <c r="W793" s="60"/>
    </row>
    <row r="794" spans="7:23" x14ac:dyDescent="0.25">
      <c r="G794" s="60"/>
      <c r="H794" s="60"/>
      <c r="I794" s="60"/>
      <c r="J794" s="60"/>
      <c r="K794" s="60"/>
      <c r="L794" s="60"/>
      <c r="M794" s="60"/>
      <c r="N794" s="60"/>
      <c r="O794" s="60"/>
      <c r="P794" s="60"/>
      <c r="Q794" s="60"/>
      <c r="R794" s="60"/>
      <c r="S794" s="60"/>
      <c r="T794" s="60"/>
      <c r="U794" s="60"/>
      <c r="V794" s="60"/>
      <c r="W794" s="60"/>
    </row>
    <row r="795" spans="7:23" x14ac:dyDescent="0.25">
      <c r="G795" s="60"/>
      <c r="H795" s="60"/>
      <c r="I795" s="60"/>
      <c r="J795" s="60"/>
      <c r="K795" s="60"/>
      <c r="L795" s="60"/>
      <c r="M795" s="60"/>
      <c r="N795" s="60"/>
      <c r="O795" s="60"/>
      <c r="P795" s="60"/>
      <c r="Q795" s="60"/>
      <c r="R795" s="60"/>
      <c r="S795" s="60"/>
      <c r="T795" s="60"/>
      <c r="U795" s="60"/>
      <c r="V795" s="60"/>
      <c r="W795" s="60"/>
    </row>
    <row r="796" spans="7:23" x14ac:dyDescent="0.25">
      <c r="G796" s="60"/>
      <c r="H796" s="60"/>
      <c r="I796" s="60"/>
      <c r="J796" s="60"/>
      <c r="K796" s="60"/>
      <c r="L796" s="60"/>
      <c r="M796" s="60"/>
      <c r="N796" s="60"/>
      <c r="O796" s="60"/>
      <c r="P796" s="60"/>
      <c r="Q796" s="60"/>
      <c r="R796" s="60"/>
      <c r="S796" s="60"/>
      <c r="T796" s="60"/>
      <c r="U796" s="60"/>
      <c r="V796" s="60"/>
      <c r="W796" s="60"/>
    </row>
    <row r="797" spans="7:23" x14ac:dyDescent="0.25">
      <c r="G797" s="60"/>
      <c r="H797" s="60"/>
      <c r="I797" s="60"/>
      <c r="J797" s="60"/>
      <c r="K797" s="60"/>
      <c r="L797" s="60"/>
      <c r="M797" s="60"/>
      <c r="N797" s="60"/>
      <c r="O797" s="60"/>
      <c r="P797" s="60"/>
      <c r="Q797" s="60"/>
      <c r="R797" s="60"/>
      <c r="S797" s="60"/>
      <c r="T797" s="60"/>
      <c r="U797" s="60"/>
      <c r="V797" s="60"/>
      <c r="W797" s="60"/>
    </row>
    <row r="798" spans="7:23" x14ac:dyDescent="0.25">
      <c r="G798" s="60"/>
      <c r="H798" s="60"/>
      <c r="I798" s="60"/>
      <c r="J798" s="60"/>
      <c r="K798" s="60"/>
      <c r="L798" s="60"/>
      <c r="M798" s="60"/>
      <c r="N798" s="60"/>
      <c r="O798" s="60"/>
      <c r="P798" s="60"/>
      <c r="Q798" s="60"/>
      <c r="R798" s="60"/>
      <c r="S798" s="60"/>
      <c r="T798" s="60"/>
      <c r="U798" s="60"/>
      <c r="V798" s="60"/>
      <c r="W798" s="60"/>
    </row>
    <row r="799" spans="7:23" x14ac:dyDescent="0.25">
      <c r="G799" s="60"/>
      <c r="H799" s="60"/>
      <c r="I799" s="60"/>
      <c r="J799" s="60"/>
      <c r="K799" s="60"/>
      <c r="L799" s="60"/>
      <c r="M799" s="60"/>
      <c r="N799" s="60"/>
      <c r="O799" s="60"/>
      <c r="P799" s="60"/>
      <c r="Q799" s="60"/>
      <c r="R799" s="60"/>
      <c r="S799" s="60"/>
      <c r="T799" s="60"/>
      <c r="U799" s="60"/>
      <c r="V799" s="60"/>
      <c r="W799" s="60"/>
    </row>
    <row r="800" spans="7:23" x14ac:dyDescent="0.25">
      <c r="G800" s="60"/>
      <c r="H800" s="60"/>
      <c r="I800" s="60"/>
      <c r="J800" s="60"/>
      <c r="K800" s="60"/>
      <c r="L800" s="60"/>
      <c r="M800" s="60"/>
      <c r="N800" s="60"/>
      <c r="O800" s="60"/>
      <c r="P800" s="60"/>
      <c r="Q800" s="60"/>
      <c r="R800" s="60"/>
      <c r="S800" s="60"/>
      <c r="T800" s="60"/>
      <c r="U800" s="60"/>
      <c r="V800" s="60"/>
      <c r="W800" s="60"/>
    </row>
    <row r="801" spans="7:23" x14ac:dyDescent="0.25">
      <c r="G801" s="60"/>
      <c r="H801" s="60"/>
      <c r="I801" s="60"/>
      <c r="J801" s="60"/>
      <c r="K801" s="60"/>
      <c r="L801" s="60"/>
      <c r="M801" s="60"/>
      <c r="N801" s="60"/>
      <c r="O801" s="60"/>
      <c r="P801" s="60"/>
      <c r="Q801" s="60"/>
      <c r="R801" s="60"/>
      <c r="S801" s="60"/>
      <c r="T801" s="60"/>
      <c r="U801" s="60"/>
      <c r="V801" s="60"/>
      <c r="W801" s="60"/>
    </row>
    <row r="802" spans="7:23" x14ac:dyDescent="0.25">
      <c r="G802" s="60"/>
      <c r="H802" s="60"/>
      <c r="I802" s="60"/>
      <c r="J802" s="60"/>
      <c r="K802" s="60"/>
      <c r="L802" s="60"/>
      <c r="M802" s="60"/>
      <c r="N802" s="60"/>
      <c r="O802" s="60"/>
      <c r="P802" s="60"/>
      <c r="Q802" s="60"/>
      <c r="R802" s="60"/>
      <c r="S802" s="60"/>
      <c r="T802" s="60"/>
      <c r="U802" s="60"/>
      <c r="V802" s="60"/>
      <c r="W802" s="60"/>
    </row>
    <row r="803" spans="7:23" x14ac:dyDescent="0.25">
      <c r="G803" s="60"/>
      <c r="H803" s="60"/>
      <c r="I803" s="60"/>
      <c r="J803" s="60"/>
      <c r="K803" s="60"/>
      <c r="L803" s="60"/>
      <c r="M803" s="60"/>
      <c r="N803" s="60"/>
      <c r="O803" s="60"/>
      <c r="P803" s="60"/>
      <c r="Q803" s="60"/>
      <c r="R803" s="60"/>
      <c r="S803" s="60"/>
      <c r="T803" s="60"/>
      <c r="U803" s="60"/>
      <c r="V803" s="60"/>
      <c r="W803" s="60"/>
    </row>
    <row r="804" spans="7:23" x14ac:dyDescent="0.25">
      <c r="G804" s="60"/>
      <c r="H804" s="60"/>
      <c r="I804" s="60"/>
      <c r="J804" s="60"/>
      <c r="K804" s="60"/>
      <c r="L804" s="60"/>
      <c r="M804" s="60"/>
      <c r="N804" s="60"/>
      <c r="O804" s="60"/>
      <c r="P804" s="60"/>
      <c r="Q804" s="60"/>
      <c r="R804" s="60"/>
      <c r="S804" s="60"/>
      <c r="T804" s="60"/>
      <c r="U804" s="60"/>
      <c r="V804" s="60"/>
      <c r="W804" s="60"/>
    </row>
    <row r="805" spans="7:23" x14ac:dyDescent="0.25">
      <c r="G805" s="60"/>
      <c r="H805" s="60"/>
      <c r="I805" s="60"/>
      <c r="J805" s="60"/>
      <c r="K805" s="60"/>
      <c r="L805" s="60"/>
      <c r="M805" s="60"/>
      <c r="N805" s="60"/>
      <c r="O805" s="60"/>
      <c r="P805" s="60"/>
      <c r="Q805" s="60"/>
      <c r="R805" s="60"/>
      <c r="S805" s="60"/>
      <c r="T805" s="60"/>
      <c r="U805" s="60"/>
      <c r="V805" s="60"/>
      <c r="W805" s="60"/>
    </row>
    <row r="806" spans="7:23" x14ac:dyDescent="0.25">
      <c r="G806" s="60"/>
      <c r="H806" s="60"/>
      <c r="I806" s="60"/>
      <c r="J806" s="60"/>
      <c r="K806" s="60"/>
      <c r="L806" s="60"/>
      <c r="M806" s="60"/>
      <c r="N806" s="60"/>
      <c r="O806" s="60"/>
      <c r="P806" s="60"/>
      <c r="Q806" s="60"/>
      <c r="R806" s="60"/>
      <c r="S806" s="60"/>
      <c r="T806" s="60"/>
      <c r="U806" s="60"/>
      <c r="V806" s="60"/>
      <c r="W806" s="60"/>
    </row>
    <row r="807" spans="7:23" x14ac:dyDescent="0.25">
      <c r="G807" s="60"/>
      <c r="H807" s="60"/>
      <c r="I807" s="60"/>
      <c r="J807" s="60"/>
      <c r="K807" s="60"/>
      <c r="L807" s="60"/>
      <c r="M807" s="60"/>
      <c r="N807" s="60"/>
      <c r="O807" s="60"/>
      <c r="P807" s="60"/>
      <c r="Q807" s="60"/>
      <c r="R807" s="60"/>
      <c r="S807" s="60"/>
      <c r="T807" s="60"/>
      <c r="U807" s="60"/>
      <c r="V807" s="60"/>
      <c r="W807" s="60"/>
    </row>
    <row r="808" spans="7:23" x14ac:dyDescent="0.25">
      <c r="G808" s="60"/>
      <c r="H808" s="60"/>
      <c r="I808" s="60"/>
      <c r="J808" s="60"/>
      <c r="K808" s="60"/>
      <c r="L808" s="60"/>
      <c r="M808" s="60"/>
      <c r="N808" s="60"/>
      <c r="O808" s="60"/>
      <c r="P808" s="60"/>
      <c r="Q808" s="60"/>
      <c r="R808" s="60"/>
      <c r="S808" s="60"/>
      <c r="T808" s="60"/>
      <c r="U808" s="60"/>
      <c r="V808" s="60"/>
      <c r="W808" s="60"/>
    </row>
    <row r="809" spans="7:23" x14ac:dyDescent="0.25">
      <c r="G809" s="60"/>
      <c r="H809" s="60"/>
      <c r="I809" s="60"/>
      <c r="J809" s="60"/>
      <c r="K809" s="60"/>
      <c r="L809" s="60"/>
      <c r="M809" s="60"/>
      <c r="N809" s="60"/>
      <c r="O809" s="60"/>
      <c r="P809" s="60"/>
      <c r="Q809" s="60"/>
      <c r="R809" s="60"/>
      <c r="S809" s="60"/>
      <c r="T809" s="60"/>
      <c r="U809" s="60"/>
      <c r="V809" s="60"/>
      <c r="W809" s="60"/>
    </row>
    <row r="810" spans="7:23" x14ac:dyDescent="0.25">
      <c r="G810" s="60"/>
      <c r="H810" s="60"/>
      <c r="I810" s="60"/>
      <c r="J810" s="60"/>
      <c r="K810" s="60"/>
      <c r="L810" s="60"/>
      <c r="M810" s="60"/>
      <c r="N810" s="60"/>
      <c r="O810" s="60"/>
      <c r="P810" s="60"/>
      <c r="Q810" s="60"/>
      <c r="R810" s="60"/>
      <c r="S810" s="60"/>
      <c r="T810" s="60"/>
      <c r="U810" s="60"/>
      <c r="V810" s="60"/>
      <c r="W810" s="60"/>
    </row>
    <row r="811" spans="7:23" x14ac:dyDescent="0.25">
      <c r="G811" s="60"/>
      <c r="H811" s="60"/>
      <c r="I811" s="60"/>
      <c r="J811" s="60"/>
      <c r="K811" s="60"/>
      <c r="L811" s="60"/>
      <c r="M811" s="60"/>
      <c r="N811" s="60"/>
      <c r="O811" s="60"/>
      <c r="P811" s="60"/>
      <c r="Q811" s="60"/>
      <c r="R811" s="60"/>
      <c r="S811" s="60"/>
      <c r="T811" s="60"/>
      <c r="U811" s="60"/>
      <c r="V811" s="60"/>
      <c r="W811" s="60"/>
    </row>
    <row r="812" spans="7:23" x14ac:dyDescent="0.25">
      <c r="G812" s="60"/>
      <c r="H812" s="60"/>
      <c r="I812" s="60"/>
      <c r="J812" s="60"/>
      <c r="K812" s="60"/>
      <c r="L812" s="60"/>
      <c r="M812" s="60"/>
      <c r="N812" s="60"/>
      <c r="O812" s="60"/>
      <c r="P812" s="60"/>
      <c r="Q812" s="60"/>
      <c r="R812" s="60"/>
      <c r="S812" s="60"/>
      <c r="T812" s="60"/>
      <c r="U812" s="60"/>
      <c r="V812" s="60"/>
      <c r="W812" s="60"/>
    </row>
    <row r="813" spans="7:23" x14ac:dyDescent="0.25">
      <c r="G813" s="60"/>
      <c r="H813" s="60"/>
      <c r="I813" s="60"/>
      <c r="J813" s="60"/>
      <c r="K813" s="60"/>
      <c r="L813" s="60"/>
      <c r="M813" s="60"/>
      <c r="N813" s="60"/>
      <c r="O813" s="60"/>
      <c r="P813" s="60"/>
      <c r="Q813" s="60"/>
      <c r="R813" s="60"/>
      <c r="S813" s="60"/>
      <c r="T813" s="60"/>
      <c r="U813" s="60"/>
      <c r="V813" s="60"/>
      <c r="W813" s="60"/>
    </row>
    <row r="814" spans="7:23" x14ac:dyDescent="0.25">
      <c r="G814" s="60"/>
      <c r="H814" s="60"/>
      <c r="I814" s="60"/>
      <c r="J814" s="60"/>
      <c r="K814" s="60"/>
      <c r="L814" s="60"/>
      <c r="M814" s="60"/>
      <c r="N814" s="60"/>
      <c r="O814" s="60"/>
      <c r="P814" s="60"/>
      <c r="Q814" s="60"/>
      <c r="R814" s="60"/>
      <c r="S814" s="60"/>
      <c r="T814" s="60"/>
      <c r="U814" s="60"/>
      <c r="V814" s="60"/>
      <c r="W814" s="60"/>
    </row>
    <row r="815" spans="7:23" x14ac:dyDescent="0.25">
      <c r="G815" s="60"/>
      <c r="H815" s="60"/>
      <c r="I815" s="60"/>
      <c r="J815" s="60"/>
      <c r="K815" s="60"/>
      <c r="L815" s="60"/>
      <c r="M815" s="60"/>
      <c r="N815" s="60"/>
      <c r="O815" s="60"/>
      <c r="P815" s="60"/>
      <c r="Q815" s="60"/>
      <c r="R815" s="60"/>
      <c r="S815" s="60"/>
      <c r="T815" s="60"/>
      <c r="U815" s="60"/>
      <c r="V815" s="60"/>
      <c r="W815" s="60"/>
    </row>
    <row r="816" spans="7:23" x14ac:dyDescent="0.25">
      <c r="G816" s="60"/>
      <c r="H816" s="60"/>
      <c r="I816" s="60"/>
      <c r="J816" s="60"/>
      <c r="K816" s="60"/>
      <c r="L816" s="60"/>
      <c r="M816" s="60"/>
      <c r="N816" s="60"/>
      <c r="O816" s="60"/>
      <c r="P816" s="60"/>
      <c r="Q816" s="60"/>
      <c r="R816" s="60"/>
      <c r="S816" s="60"/>
      <c r="T816" s="60"/>
      <c r="U816" s="60"/>
      <c r="V816" s="60"/>
      <c r="W816" s="60"/>
    </row>
    <row r="817" spans="7:23" x14ac:dyDescent="0.25">
      <c r="G817" s="60"/>
      <c r="H817" s="60"/>
      <c r="I817" s="60"/>
      <c r="J817" s="60"/>
      <c r="K817" s="60"/>
      <c r="L817" s="60"/>
      <c r="M817" s="60"/>
      <c r="N817" s="60"/>
      <c r="O817" s="60"/>
      <c r="P817" s="60"/>
      <c r="Q817" s="60"/>
      <c r="R817" s="60"/>
      <c r="S817" s="60"/>
      <c r="T817" s="60"/>
      <c r="U817" s="60"/>
      <c r="V817" s="60"/>
      <c r="W817" s="60"/>
    </row>
    <row r="818" spans="7:23" x14ac:dyDescent="0.25">
      <c r="G818" s="60"/>
      <c r="H818" s="60"/>
      <c r="I818" s="60"/>
      <c r="J818" s="60"/>
      <c r="K818" s="60"/>
      <c r="L818" s="60"/>
      <c r="M818" s="60"/>
      <c r="N818" s="60"/>
      <c r="O818" s="60"/>
      <c r="P818" s="60"/>
      <c r="Q818" s="60"/>
      <c r="R818" s="60"/>
      <c r="S818" s="60"/>
      <c r="T818" s="60"/>
      <c r="U818" s="60"/>
      <c r="V818" s="60"/>
      <c r="W818" s="60"/>
    </row>
    <row r="819" spans="7:23" x14ac:dyDescent="0.25">
      <c r="G819" s="60"/>
      <c r="H819" s="60"/>
      <c r="I819" s="60"/>
      <c r="J819" s="60"/>
      <c r="K819" s="60"/>
      <c r="L819" s="60"/>
      <c r="M819" s="60"/>
      <c r="N819" s="60"/>
      <c r="O819" s="60"/>
      <c r="P819" s="60"/>
      <c r="Q819" s="60"/>
      <c r="R819" s="60"/>
      <c r="S819" s="60"/>
      <c r="T819" s="60"/>
      <c r="U819" s="60"/>
      <c r="V819" s="60"/>
      <c r="W819" s="60"/>
    </row>
    <row r="820" spans="7:23" x14ac:dyDescent="0.25">
      <c r="G820" s="60"/>
      <c r="H820" s="60"/>
      <c r="I820" s="60"/>
      <c r="J820" s="60"/>
      <c r="K820" s="60"/>
      <c r="L820" s="60"/>
      <c r="M820" s="60"/>
      <c r="N820" s="60"/>
      <c r="O820" s="60"/>
      <c r="P820" s="60"/>
      <c r="Q820" s="60"/>
      <c r="R820" s="60"/>
      <c r="S820" s="60"/>
      <c r="T820" s="60"/>
      <c r="U820" s="60"/>
      <c r="V820" s="60"/>
      <c r="W820" s="60"/>
    </row>
    <row r="821" spans="7:23" x14ac:dyDescent="0.25">
      <c r="G821" s="60"/>
      <c r="H821" s="60"/>
      <c r="I821" s="60"/>
      <c r="J821" s="60"/>
      <c r="K821" s="60"/>
      <c r="L821" s="60"/>
      <c r="M821" s="60"/>
      <c r="N821" s="60"/>
      <c r="O821" s="60"/>
      <c r="P821" s="60"/>
      <c r="Q821" s="60"/>
      <c r="R821" s="60"/>
      <c r="S821" s="60"/>
      <c r="T821" s="60"/>
      <c r="U821" s="60"/>
      <c r="V821" s="60"/>
      <c r="W821" s="60"/>
    </row>
    <row r="822" spans="7:23" x14ac:dyDescent="0.25">
      <c r="G822" s="60"/>
      <c r="H822" s="60"/>
      <c r="I822" s="60"/>
      <c r="J822" s="60"/>
      <c r="K822" s="60"/>
      <c r="L822" s="60"/>
      <c r="M822" s="60"/>
      <c r="N822" s="60"/>
      <c r="O822" s="60"/>
      <c r="P822" s="60"/>
      <c r="Q822" s="60"/>
      <c r="R822" s="60"/>
      <c r="S822" s="60"/>
      <c r="T822" s="60"/>
      <c r="U822" s="60"/>
      <c r="V822" s="60"/>
      <c r="W822" s="60"/>
    </row>
    <row r="823" spans="7:23" x14ac:dyDescent="0.25">
      <c r="G823" s="60"/>
      <c r="H823" s="60"/>
      <c r="I823" s="60"/>
      <c r="J823" s="60"/>
      <c r="K823" s="60"/>
      <c r="L823" s="60"/>
      <c r="M823" s="60"/>
      <c r="N823" s="60"/>
      <c r="O823" s="60"/>
      <c r="P823" s="60"/>
      <c r="Q823" s="60"/>
      <c r="R823" s="60"/>
      <c r="S823" s="60"/>
      <c r="T823" s="60"/>
      <c r="U823" s="60"/>
      <c r="V823" s="60"/>
      <c r="W823" s="60"/>
    </row>
    <row r="824" spans="7:23" x14ac:dyDescent="0.25">
      <c r="G824" s="60"/>
      <c r="H824" s="60"/>
      <c r="I824" s="60"/>
      <c r="J824" s="60"/>
      <c r="K824" s="60"/>
      <c r="L824" s="60"/>
      <c r="M824" s="60"/>
      <c r="N824" s="60"/>
      <c r="O824" s="60"/>
      <c r="P824" s="60"/>
      <c r="Q824" s="60"/>
      <c r="R824" s="60"/>
      <c r="S824" s="60"/>
      <c r="T824" s="60"/>
      <c r="U824" s="60"/>
      <c r="V824" s="60"/>
      <c r="W824" s="60"/>
    </row>
    <row r="825" spans="7:23" x14ac:dyDescent="0.25">
      <c r="G825" s="60"/>
      <c r="H825" s="60"/>
      <c r="I825" s="60"/>
      <c r="J825" s="60"/>
      <c r="K825" s="60"/>
      <c r="L825" s="60"/>
      <c r="M825" s="60"/>
      <c r="N825" s="60"/>
      <c r="O825" s="60"/>
      <c r="P825" s="60"/>
      <c r="Q825" s="60"/>
      <c r="R825" s="60"/>
      <c r="S825" s="60"/>
      <c r="T825" s="60"/>
      <c r="U825" s="60"/>
      <c r="V825" s="60"/>
      <c r="W825" s="60"/>
    </row>
    <row r="826" spans="7:23" x14ac:dyDescent="0.25">
      <c r="G826" s="60"/>
      <c r="H826" s="60"/>
      <c r="I826" s="60"/>
      <c r="J826" s="60"/>
      <c r="K826" s="60"/>
      <c r="L826" s="60"/>
      <c r="M826" s="60"/>
      <c r="N826" s="60"/>
      <c r="O826" s="60"/>
      <c r="P826" s="60"/>
      <c r="Q826" s="60"/>
      <c r="R826" s="60"/>
      <c r="S826" s="60"/>
      <c r="T826" s="60"/>
      <c r="U826" s="60"/>
      <c r="V826" s="60"/>
      <c r="W826" s="60"/>
    </row>
    <row r="827" spans="7:23" x14ac:dyDescent="0.25">
      <c r="G827" s="60"/>
      <c r="H827" s="60"/>
      <c r="I827" s="60"/>
      <c r="J827" s="60"/>
      <c r="K827" s="60"/>
      <c r="L827" s="60"/>
      <c r="M827" s="60"/>
      <c r="N827" s="60"/>
      <c r="O827" s="60"/>
      <c r="P827" s="60"/>
      <c r="Q827" s="60"/>
      <c r="R827" s="60"/>
      <c r="S827" s="60"/>
      <c r="T827" s="60"/>
      <c r="U827" s="60"/>
      <c r="V827" s="60"/>
      <c r="W827" s="60"/>
    </row>
    <row r="828" spans="7:23" x14ac:dyDescent="0.25">
      <c r="G828" s="60"/>
      <c r="H828" s="60"/>
      <c r="I828" s="60"/>
      <c r="J828" s="60"/>
      <c r="K828" s="60"/>
      <c r="L828" s="60"/>
      <c r="M828" s="60"/>
      <c r="N828" s="60"/>
      <c r="O828" s="60"/>
      <c r="P828" s="60"/>
      <c r="Q828" s="60"/>
      <c r="R828" s="60"/>
      <c r="S828" s="60"/>
      <c r="T828" s="60"/>
      <c r="U828" s="60"/>
      <c r="V828" s="60"/>
      <c r="W828" s="60"/>
    </row>
    <row r="829" spans="7:23" x14ac:dyDescent="0.25">
      <c r="G829" s="60"/>
      <c r="H829" s="60"/>
      <c r="I829" s="60"/>
      <c r="J829" s="60"/>
      <c r="K829" s="60"/>
      <c r="L829" s="60"/>
      <c r="M829" s="60"/>
      <c r="N829" s="60"/>
      <c r="O829" s="60"/>
      <c r="P829" s="60"/>
      <c r="Q829" s="60"/>
      <c r="R829" s="60"/>
      <c r="S829" s="60"/>
      <c r="T829" s="60"/>
      <c r="U829" s="60"/>
      <c r="V829" s="60"/>
      <c r="W829" s="60"/>
    </row>
    <row r="830" spans="7:23" x14ac:dyDescent="0.25">
      <c r="G830" s="60"/>
      <c r="H830" s="60"/>
      <c r="I830" s="60"/>
      <c r="J830" s="60"/>
      <c r="K830" s="60"/>
      <c r="L830" s="60"/>
      <c r="M830" s="60"/>
      <c r="N830" s="60"/>
      <c r="O830" s="60"/>
      <c r="P830" s="60"/>
      <c r="Q830" s="60"/>
      <c r="R830" s="60"/>
      <c r="S830" s="60"/>
      <c r="T830" s="60"/>
      <c r="U830" s="60"/>
      <c r="V830" s="60"/>
      <c r="W830" s="60"/>
    </row>
    <row r="831" spans="7:23" x14ac:dyDescent="0.25">
      <c r="G831" s="60"/>
      <c r="H831" s="60"/>
      <c r="I831" s="60"/>
      <c r="J831" s="60"/>
      <c r="K831" s="60"/>
      <c r="L831" s="60"/>
      <c r="M831" s="60"/>
      <c r="N831" s="60"/>
      <c r="O831" s="60"/>
      <c r="P831" s="60"/>
      <c r="Q831" s="60"/>
      <c r="R831" s="60"/>
      <c r="S831" s="60"/>
      <c r="T831" s="60"/>
      <c r="U831" s="60"/>
      <c r="V831" s="60"/>
      <c r="W831" s="60"/>
    </row>
    <row r="832" spans="7:23" x14ac:dyDescent="0.25">
      <c r="G832" s="60"/>
      <c r="H832" s="60"/>
      <c r="I832" s="60"/>
      <c r="J832" s="60"/>
      <c r="K832" s="60"/>
      <c r="L832" s="60"/>
      <c r="M832" s="60"/>
      <c r="N832" s="60"/>
      <c r="O832" s="60"/>
      <c r="P832" s="60"/>
      <c r="Q832" s="60"/>
      <c r="R832" s="60"/>
      <c r="S832" s="60"/>
      <c r="T832" s="60"/>
      <c r="U832" s="60"/>
      <c r="V832" s="60"/>
      <c r="W832" s="60"/>
    </row>
    <row r="833" spans="7:23" x14ac:dyDescent="0.25">
      <c r="G833" s="60"/>
      <c r="H833" s="60"/>
      <c r="I833" s="60"/>
      <c r="J833" s="60"/>
      <c r="K833" s="60"/>
      <c r="L833" s="60"/>
      <c r="M833" s="60"/>
      <c r="N833" s="60"/>
      <c r="O833" s="60"/>
      <c r="P833" s="60"/>
      <c r="Q833" s="60"/>
      <c r="R833" s="60"/>
      <c r="S833" s="60"/>
      <c r="T833" s="60"/>
      <c r="U833" s="60"/>
      <c r="V833" s="60"/>
      <c r="W833" s="60"/>
    </row>
    <row r="834" spans="7:23" x14ac:dyDescent="0.25">
      <c r="G834" s="60"/>
      <c r="H834" s="60"/>
      <c r="I834" s="60"/>
      <c r="J834" s="60"/>
      <c r="K834" s="60"/>
      <c r="L834" s="60"/>
      <c r="M834" s="60"/>
      <c r="N834" s="60"/>
      <c r="O834" s="60"/>
      <c r="P834" s="60"/>
      <c r="Q834" s="60"/>
      <c r="R834" s="60"/>
      <c r="S834" s="60"/>
      <c r="T834" s="60"/>
      <c r="U834" s="60"/>
      <c r="V834" s="60"/>
      <c r="W834" s="60"/>
    </row>
    <row r="835" spans="7:23" x14ac:dyDescent="0.25">
      <c r="G835" s="60"/>
      <c r="H835" s="60"/>
      <c r="I835" s="60"/>
      <c r="J835" s="60"/>
      <c r="K835" s="60"/>
      <c r="L835" s="60"/>
      <c r="M835" s="60"/>
      <c r="N835" s="60"/>
      <c r="O835" s="60"/>
      <c r="P835" s="60"/>
      <c r="Q835" s="60"/>
      <c r="R835" s="60"/>
      <c r="S835" s="60"/>
      <c r="T835" s="60"/>
      <c r="U835" s="60"/>
      <c r="V835" s="60"/>
      <c r="W835" s="60"/>
    </row>
    <row r="836" spans="7:23" x14ac:dyDescent="0.25">
      <c r="G836" s="60"/>
      <c r="H836" s="60"/>
      <c r="I836" s="60"/>
      <c r="J836" s="60"/>
      <c r="K836" s="60"/>
      <c r="L836" s="60"/>
      <c r="M836" s="60"/>
      <c r="N836" s="60"/>
      <c r="O836" s="60"/>
      <c r="P836" s="60"/>
      <c r="Q836" s="60"/>
      <c r="R836" s="60"/>
      <c r="S836" s="60"/>
      <c r="T836" s="60"/>
      <c r="U836" s="60"/>
      <c r="V836" s="60"/>
      <c r="W836" s="60"/>
    </row>
    <row r="837" spans="7:23" x14ac:dyDescent="0.25">
      <c r="G837" s="60"/>
      <c r="H837" s="60"/>
      <c r="I837" s="60"/>
      <c r="J837" s="60"/>
      <c r="K837" s="60"/>
      <c r="L837" s="60"/>
      <c r="M837" s="60"/>
      <c r="N837" s="60"/>
      <c r="O837" s="60"/>
      <c r="P837" s="60"/>
      <c r="Q837" s="60"/>
      <c r="R837" s="60"/>
      <c r="S837" s="60"/>
      <c r="T837" s="60"/>
      <c r="U837" s="60"/>
      <c r="V837" s="60"/>
      <c r="W837" s="60"/>
    </row>
    <row r="838" spans="7:23" x14ac:dyDescent="0.25">
      <c r="G838" s="60"/>
      <c r="H838" s="60"/>
      <c r="I838" s="60"/>
      <c r="J838" s="60"/>
      <c r="K838" s="60"/>
      <c r="L838" s="60"/>
      <c r="M838" s="60"/>
      <c r="N838" s="60"/>
      <c r="O838" s="60"/>
      <c r="P838" s="60"/>
      <c r="Q838" s="60"/>
      <c r="R838" s="60"/>
      <c r="S838" s="60"/>
      <c r="T838" s="60"/>
      <c r="U838" s="60"/>
      <c r="V838" s="60"/>
      <c r="W838" s="60"/>
    </row>
    <row r="839" spans="7:23" x14ac:dyDescent="0.25">
      <c r="G839" s="60"/>
      <c r="H839" s="60"/>
      <c r="I839" s="60"/>
      <c r="J839" s="60"/>
      <c r="K839" s="60"/>
      <c r="L839" s="60"/>
      <c r="M839" s="60"/>
      <c r="N839" s="60"/>
      <c r="O839" s="60"/>
      <c r="P839" s="60"/>
      <c r="Q839" s="60"/>
      <c r="R839" s="60"/>
      <c r="S839" s="60"/>
      <c r="T839" s="60"/>
      <c r="U839" s="60"/>
      <c r="V839" s="60"/>
      <c r="W839" s="60"/>
    </row>
    <row r="840" spans="7:23" x14ac:dyDescent="0.25">
      <c r="G840" s="60"/>
      <c r="H840" s="60"/>
      <c r="I840" s="60"/>
      <c r="J840" s="60"/>
      <c r="K840" s="60"/>
      <c r="L840" s="60"/>
      <c r="M840" s="60"/>
      <c r="N840" s="60"/>
      <c r="O840" s="60"/>
      <c r="P840" s="60"/>
      <c r="Q840" s="60"/>
      <c r="R840" s="60"/>
      <c r="S840" s="60"/>
      <c r="T840" s="60"/>
      <c r="U840" s="60"/>
      <c r="V840" s="60"/>
      <c r="W840" s="60"/>
    </row>
    <row r="841" spans="7:23" x14ac:dyDescent="0.25">
      <c r="G841" s="60"/>
      <c r="H841" s="60"/>
      <c r="I841" s="60"/>
      <c r="J841" s="60"/>
      <c r="K841" s="60"/>
      <c r="L841" s="60"/>
      <c r="M841" s="60"/>
      <c r="N841" s="60"/>
      <c r="O841" s="60"/>
      <c r="P841" s="60"/>
      <c r="Q841" s="60"/>
      <c r="R841" s="60"/>
      <c r="S841" s="60"/>
      <c r="T841" s="60"/>
      <c r="U841" s="60"/>
      <c r="V841" s="60"/>
      <c r="W841" s="60"/>
    </row>
    <row r="842" spans="7:23" x14ac:dyDescent="0.25">
      <c r="G842" s="60"/>
      <c r="H842" s="60"/>
      <c r="I842" s="60"/>
      <c r="J842" s="60"/>
      <c r="K842" s="60"/>
      <c r="L842" s="60"/>
      <c r="M842" s="60"/>
      <c r="N842" s="60"/>
      <c r="O842" s="60"/>
      <c r="P842" s="60"/>
      <c r="Q842" s="60"/>
      <c r="R842" s="60"/>
      <c r="S842" s="60"/>
      <c r="T842" s="60"/>
      <c r="U842" s="60"/>
      <c r="V842" s="60"/>
      <c r="W842" s="60"/>
    </row>
    <row r="843" spans="7:23" x14ac:dyDescent="0.25">
      <c r="G843" s="60"/>
      <c r="H843" s="60"/>
      <c r="I843" s="60"/>
      <c r="J843" s="60"/>
      <c r="K843" s="60"/>
      <c r="L843" s="60"/>
      <c r="M843" s="60"/>
      <c r="N843" s="60"/>
      <c r="O843" s="60"/>
      <c r="P843" s="60"/>
      <c r="Q843" s="60"/>
      <c r="R843" s="60"/>
      <c r="S843" s="60"/>
      <c r="T843" s="60"/>
      <c r="U843" s="60"/>
      <c r="V843" s="60"/>
      <c r="W843" s="60"/>
    </row>
    <row r="844" spans="7:23" x14ac:dyDescent="0.25">
      <c r="G844" s="60"/>
      <c r="H844" s="60"/>
      <c r="I844" s="60"/>
      <c r="J844" s="60"/>
      <c r="K844" s="60"/>
      <c r="L844" s="60"/>
      <c r="M844" s="60"/>
      <c r="N844" s="60"/>
      <c r="O844" s="60"/>
      <c r="P844" s="60"/>
      <c r="Q844" s="60"/>
      <c r="R844" s="60"/>
      <c r="S844" s="60"/>
      <c r="T844" s="60"/>
      <c r="U844" s="60"/>
      <c r="V844" s="60"/>
      <c r="W844" s="60"/>
    </row>
    <row r="845" spans="7:23" x14ac:dyDescent="0.25">
      <c r="G845" s="60"/>
      <c r="H845" s="60"/>
      <c r="I845" s="60"/>
      <c r="J845" s="60"/>
      <c r="K845" s="60"/>
      <c r="L845" s="60"/>
      <c r="M845" s="60"/>
      <c r="N845" s="60"/>
      <c r="O845" s="60"/>
      <c r="P845" s="60"/>
      <c r="Q845" s="60"/>
      <c r="R845" s="60"/>
      <c r="S845" s="60"/>
      <c r="T845" s="60"/>
      <c r="U845" s="60"/>
      <c r="V845" s="60"/>
      <c r="W845" s="60"/>
    </row>
    <row r="846" spans="7:23" x14ac:dyDescent="0.25">
      <c r="G846" s="60"/>
      <c r="H846" s="60"/>
      <c r="I846" s="60"/>
      <c r="J846" s="60"/>
      <c r="K846" s="60"/>
      <c r="L846" s="60"/>
      <c r="M846" s="60"/>
      <c r="N846" s="60"/>
      <c r="O846" s="60"/>
      <c r="P846" s="60"/>
      <c r="Q846" s="60"/>
      <c r="R846" s="60"/>
      <c r="S846" s="60"/>
      <c r="T846" s="60"/>
      <c r="U846" s="60"/>
      <c r="V846" s="60"/>
      <c r="W846" s="60"/>
    </row>
    <row r="847" spans="7:23" x14ac:dyDescent="0.25">
      <c r="G847" s="60"/>
      <c r="H847" s="60"/>
      <c r="I847" s="60"/>
      <c r="J847" s="60"/>
      <c r="K847" s="60"/>
      <c r="L847" s="60"/>
      <c r="M847" s="60"/>
      <c r="N847" s="60"/>
      <c r="O847" s="60"/>
      <c r="P847" s="60"/>
      <c r="Q847" s="60"/>
      <c r="R847" s="60"/>
      <c r="S847" s="60"/>
      <c r="T847" s="60"/>
      <c r="U847" s="60"/>
      <c r="V847" s="60"/>
      <c r="W847" s="60"/>
    </row>
    <row r="848" spans="7:23" x14ac:dyDescent="0.25">
      <c r="G848" s="60"/>
      <c r="H848" s="60"/>
      <c r="I848" s="60"/>
      <c r="J848" s="60"/>
      <c r="K848" s="60"/>
      <c r="L848" s="60"/>
      <c r="M848" s="60"/>
      <c r="N848" s="60"/>
      <c r="O848" s="60"/>
      <c r="P848" s="60"/>
      <c r="Q848" s="60"/>
      <c r="R848" s="60"/>
      <c r="S848" s="60"/>
      <c r="T848" s="60"/>
      <c r="U848" s="60"/>
      <c r="V848" s="60"/>
      <c r="W848" s="60"/>
    </row>
    <row r="849" spans="7:23" x14ac:dyDescent="0.25">
      <c r="G849" s="60"/>
      <c r="H849" s="60"/>
      <c r="I849" s="60"/>
      <c r="J849" s="60"/>
      <c r="K849" s="60"/>
      <c r="L849" s="60"/>
      <c r="M849" s="60"/>
      <c r="N849" s="60"/>
      <c r="O849" s="60"/>
      <c r="P849" s="60"/>
      <c r="Q849" s="60"/>
      <c r="R849" s="60"/>
      <c r="S849" s="60"/>
      <c r="T849" s="60"/>
      <c r="U849" s="60"/>
      <c r="V849" s="60"/>
      <c r="W849" s="60"/>
    </row>
    <row r="850" spans="7:23" x14ac:dyDescent="0.25">
      <c r="G850" s="60"/>
      <c r="H850" s="60"/>
      <c r="I850" s="60"/>
      <c r="J850" s="60"/>
      <c r="K850" s="60"/>
      <c r="L850" s="60"/>
      <c r="M850" s="60"/>
      <c r="N850" s="60"/>
      <c r="O850" s="60"/>
      <c r="P850" s="60"/>
      <c r="Q850" s="60"/>
      <c r="R850" s="60"/>
      <c r="S850" s="60"/>
      <c r="T850" s="60"/>
      <c r="U850" s="60"/>
      <c r="V850" s="60"/>
      <c r="W850" s="60"/>
    </row>
    <row r="851" spans="7:23" x14ac:dyDescent="0.25">
      <c r="G851" s="60"/>
      <c r="H851" s="60"/>
      <c r="I851" s="60"/>
      <c r="J851" s="60"/>
      <c r="K851" s="60"/>
      <c r="L851" s="60"/>
      <c r="M851" s="60"/>
      <c r="N851" s="60"/>
      <c r="O851" s="60"/>
      <c r="P851" s="60"/>
      <c r="Q851" s="60"/>
      <c r="R851" s="60"/>
      <c r="S851" s="60"/>
      <c r="T851" s="60"/>
      <c r="U851" s="60"/>
      <c r="V851" s="60"/>
      <c r="W851" s="60"/>
    </row>
    <row r="852" spans="7:23" x14ac:dyDescent="0.25">
      <c r="G852" s="60"/>
      <c r="H852" s="60"/>
      <c r="I852" s="60"/>
      <c r="J852" s="60"/>
      <c r="K852" s="60"/>
      <c r="L852" s="60"/>
      <c r="M852" s="60"/>
      <c r="N852" s="60"/>
      <c r="O852" s="60"/>
      <c r="P852" s="60"/>
      <c r="Q852" s="60"/>
      <c r="R852" s="60"/>
      <c r="S852" s="60"/>
      <c r="T852" s="60"/>
      <c r="U852" s="60"/>
      <c r="V852" s="60"/>
      <c r="W852" s="60"/>
    </row>
    <row r="853" spans="7:23" x14ac:dyDescent="0.25">
      <c r="G853" s="60"/>
      <c r="H853" s="60"/>
      <c r="I853" s="60"/>
      <c r="J853" s="60"/>
      <c r="K853" s="60"/>
      <c r="L853" s="60"/>
      <c r="M853" s="60"/>
      <c r="N853" s="60"/>
      <c r="O853" s="60"/>
      <c r="P853" s="60"/>
      <c r="Q853" s="60"/>
      <c r="R853" s="60"/>
      <c r="S853" s="60"/>
      <c r="T853" s="60"/>
      <c r="U853" s="60"/>
      <c r="V853" s="60"/>
      <c r="W853" s="60"/>
    </row>
    <row r="854" spans="7:23" x14ac:dyDescent="0.25">
      <c r="G854" s="60"/>
      <c r="H854" s="60"/>
      <c r="I854" s="60"/>
      <c r="J854" s="60"/>
      <c r="K854" s="60"/>
      <c r="L854" s="60"/>
      <c r="M854" s="60"/>
      <c r="N854" s="60"/>
      <c r="O854" s="60"/>
      <c r="P854" s="60"/>
      <c r="Q854" s="60"/>
      <c r="R854" s="60"/>
      <c r="S854" s="60"/>
      <c r="T854" s="60"/>
      <c r="U854" s="60"/>
      <c r="V854" s="60"/>
      <c r="W854" s="60"/>
    </row>
    <row r="855" spans="7:23" x14ac:dyDescent="0.25">
      <c r="G855" s="60"/>
      <c r="H855" s="60"/>
      <c r="I855" s="60"/>
      <c r="J855" s="60"/>
      <c r="K855" s="60"/>
      <c r="L855" s="60"/>
      <c r="M855" s="60"/>
      <c r="N855" s="60"/>
      <c r="O855" s="60"/>
      <c r="P855" s="60"/>
      <c r="Q855" s="60"/>
      <c r="R855" s="60"/>
      <c r="S855" s="60"/>
      <c r="T855" s="60"/>
      <c r="U855" s="60"/>
      <c r="V855" s="60"/>
      <c r="W855" s="60"/>
    </row>
    <row r="856" spans="7:23" x14ac:dyDescent="0.25">
      <c r="G856" s="60"/>
      <c r="H856" s="60"/>
      <c r="I856" s="60"/>
      <c r="J856" s="60"/>
      <c r="K856" s="60"/>
      <c r="L856" s="60"/>
      <c r="M856" s="60"/>
      <c r="N856" s="60"/>
      <c r="O856" s="60"/>
      <c r="P856" s="60"/>
      <c r="Q856" s="60"/>
      <c r="R856" s="60"/>
      <c r="S856" s="60"/>
      <c r="T856" s="60"/>
      <c r="U856" s="60"/>
      <c r="V856" s="60"/>
      <c r="W856" s="60"/>
    </row>
    <row r="857" spans="7:23" x14ac:dyDescent="0.25">
      <c r="G857" s="60"/>
      <c r="H857" s="60"/>
      <c r="I857" s="60"/>
      <c r="J857" s="60"/>
      <c r="K857" s="60"/>
      <c r="L857" s="60"/>
      <c r="M857" s="60"/>
      <c r="N857" s="60"/>
      <c r="O857" s="60"/>
      <c r="P857" s="60"/>
      <c r="Q857" s="60"/>
      <c r="R857" s="60"/>
      <c r="S857" s="60"/>
      <c r="T857" s="60"/>
      <c r="U857" s="60"/>
      <c r="V857" s="60"/>
      <c r="W857" s="60"/>
    </row>
    <row r="858" spans="7:23" x14ac:dyDescent="0.25">
      <c r="G858" s="60"/>
      <c r="H858" s="60"/>
      <c r="I858" s="60"/>
      <c r="J858" s="60"/>
      <c r="K858" s="60"/>
      <c r="L858" s="60"/>
      <c r="M858" s="60"/>
      <c r="N858" s="60"/>
      <c r="O858" s="60"/>
      <c r="P858" s="60"/>
      <c r="Q858" s="60"/>
      <c r="R858" s="60"/>
      <c r="S858" s="60"/>
      <c r="T858" s="60"/>
      <c r="U858" s="60"/>
      <c r="V858" s="60"/>
      <c r="W858" s="60"/>
    </row>
    <row r="859" spans="7:23" x14ac:dyDescent="0.25">
      <c r="G859" s="60"/>
      <c r="H859" s="60"/>
      <c r="I859" s="60"/>
      <c r="J859" s="60"/>
      <c r="K859" s="60"/>
      <c r="L859" s="60"/>
      <c r="M859" s="60"/>
      <c r="N859" s="60"/>
      <c r="O859" s="60"/>
      <c r="P859" s="60"/>
      <c r="Q859" s="60"/>
      <c r="R859" s="60"/>
      <c r="S859" s="60"/>
      <c r="T859" s="60"/>
      <c r="U859" s="60"/>
      <c r="V859" s="60"/>
      <c r="W859" s="60"/>
    </row>
    <row r="860" spans="7:23" x14ac:dyDescent="0.25">
      <c r="G860" s="60"/>
      <c r="H860" s="60"/>
      <c r="I860" s="60"/>
      <c r="J860" s="60"/>
      <c r="K860" s="60"/>
      <c r="L860" s="60"/>
      <c r="M860" s="60"/>
      <c r="N860" s="60"/>
      <c r="O860" s="60"/>
      <c r="P860" s="60"/>
      <c r="Q860" s="60"/>
      <c r="R860" s="60"/>
      <c r="S860" s="60"/>
      <c r="T860" s="60"/>
      <c r="U860" s="60"/>
      <c r="V860" s="60"/>
      <c r="W860" s="60"/>
    </row>
    <row r="861" spans="7:23" x14ac:dyDescent="0.25">
      <c r="G861" s="60"/>
      <c r="H861" s="60"/>
      <c r="I861" s="60"/>
      <c r="J861" s="60"/>
      <c r="K861" s="60"/>
      <c r="L861" s="60"/>
      <c r="M861" s="60"/>
      <c r="N861" s="60"/>
      <c r="O861" s="60"/>
      <c r="P861" s="60"/>
      <c r="Q861" s="60"/>
      <c r="R861" s="60"/>
      <c r="S861" s="60"/>
      <c r="T861" s="60"/>
      <c r="U861" s="60"/>
      <c r="V861" s="60"/>
      <c r="W861" s="60"/>
    </row>
    <row r="862" spans="7:23" x14ac:dyDescent="0.25">
      <c r="G862" s="60"/>
      <c r="H862" s="60"/>
      <c r="I862" s="60"/>
      <c r="J862" s="60"/>
      <c r="K862" s="60"/>
      <c r="L862" s="60"/>
      <c r="M862" s="60"/>
      <c r="N862" s="60"/>
      <c r="O862" s="60"/>
      <c r="P862" s="60"/>
      <c r="Q862" s="60"/>
      <c r="R862" s="60"/>
      <c r="S862" s="60"/>
      <c r="T862" s="60"/>
      <c r="U862" s="60"/>
      <c r="V862" s="60"/>
      <c r="W862" s="60"/>
    </row>
    <row r="863" spans="7:23" x14ac:dyDescent="0.25">
      <c r="G863" s="60"/>
      <c r="H863" s="60"/>
      <c r="I863" s="60"/>
      <c r="J863" s="60"/>
      <c r="K863" s="60"/>
      <c r="L863" s="60"/>
      <c r="M863" s="60"/>
      <c r="N863" s="60"/>
      <c r="O863" s="60"/>
      <c r="P863" s="60"/>
      <c r="Q863" s="60"/>
      <c r="R863" s="60"/>
      <c r="S863" s="60"/>
      <c r="T863" s="60"/>
      <c r="U863" s="60"/>
      <c r="V863" s="60"/>
      <c r="W863" s="60"/>
    </row>
    <row r="864" spans="7:23" x14ac:dyDescent="0.25">
      <c r="G864" s="60"/>
      <c r="H864" s="60"/>
      <c r="I864" s="60"/>
      <c r="J864" s="60"/>
      <c r="K864" s="60"/>
      <c r="L864" s="60"/>
      <c r="M864" s="60"/>
      <c r="N864" s="60"/>
      <c r="O864" s="60"/>
      <c r="P864" s="60"/>
      <c r="Q864" s="60"/>
      <c r="R864" s="60"/>
      <c r="S864" s="60"/>
      <c r="T864" s="60"/>
      <c r="U864" s="60"/>
      <c r="V864" s="60"/>
      <c r="W864" s="60"/>
    </row>
    <row r="865" spans="7:23" x14ac:dyDescent="0.25">
      <c r="G865" s="60"/>
      <c r="H865" s="60"/>
      <c r="I865" s="60"/>
      <c r="J865" s="60"/>
      <c r="K865" s="60"/>
      <c r="L865" s="60"/>
      <c r="M865" s="60"/>
      <c r="N865" s="60"/>
      <c r="O865" s="60"/>
      <c r="P865" s="60"/>
      <c r="Q865" s="60"/>
      <c r="R865" s="60"/>
      <c r="S865" s="60"/>
      <c r="T865" s="60"/>
      <c r="U865" s="60"/>
      <c r="V865" s="60"/>
      <c r="W865" s="60"/>
    </row>
    <row r="866" spans="7:23" x14ac:dyDescent="0.25">
      <c r="G866" s="60"/>
      <c r="H866" s="60"/>
      <c r="I866" s="60"/>
      <c r="J866" s="60"/>
      <c r="K866" s="60"/>
      <c r="L866" s="60"/>
      <c r="M866" s="60"/>
      <c r="N866" s="60"/>
      <c r="O866" s="60"/>
      <c r="P866" s="60"/>
      <c r="Q866" s="60"/>
      <c r="R866" s="60"/>
      <c r="S866" s="60"/>
      <c r="T866" s="60"/>
      <c r="U866" s="60"/>
      <c r="V866" s="60"/>
      <c r="W866" s="60"/>
    </row>
    <row r="867" spans="7:23" x14ac:dyDescent="0.25">
      <c r="G867" s="60"/>
      <c r="H867" s="60"/>
      <c r="I867" s="60"/>
      <c r="J867" s="60"/>
      <c r="K867" s="60"/>
      <c r="L867" s="60"/>
      <c r="M867" s="60"/>
      <c r="N867" s="60"/>
      <c r="O867" s="60"/>
      <c r="P867" s="60"/>
      <c r="Q867" s="60"/>
      <c r="R867" s="60"/>
      <c r="S867" s="60"/>
      <c r="T867" s="60"/>
      <c r="U867" s="60"/>
      <c r="V867" s="60"/>
      <c r="W867" s="60"/>
    </row>
    <row r="868" spans="7:23" x14ac:dyDescent="0.25">
      <c r="G868" s="60"/>
      <c r="H868" s="60"/>
      <c r="I868" s="60"/>
      <c r="J868" s="60"/>
      <c r="K868" s="60"/>
      <c r="L868" s="60"/>
      <c r="M868" s="60"/>
      <c r="N868" s="60"/>
      <c r="O868" s="60"/>
      <c r="P868" s="60"/>
      <c r="Q868" s="60"/>
      <c r="R868" s="60"/>
      <c r="S868" s="60"/>
      <c r="T868" s="60"/>
      <c r="U868" s="60"/>
      <c r="V868" s="60"/>
      <c r="W868" s="60"/>
    </row>
    <row r="869" spans="7:23" x14ac:dyDescent="0.25">
      <c r="G869" s="60"/>
      <c r="H869" s="60"/>
      <c r="I869" s="60"/>
      <c r="J869" s="60"/>
      <c r="K869" s="60"/>
      <c r="L869" s="60"/>
      <c r="M869" s="60"/>
      <c r="N869" s="60"/>
      <c r="O869" s="60"/>
      <c r="P869" s="60"/>
      <c r="Q869" s="60"/>
      <c r="R869" s="60"/>
      <c r="S869" s="60"/>
      <c r="T869" s="60"/>
      <c r="U869" s="60"/>
      <c r="V869" s="60"/>
      <c r="W869" s="60"/>
    </row>
    <row r="870" spans="7:23" x14ac:dyDescent="0.25">
      <c r="G870" s="60"/>
      <c r="H870" s="60"/>
      <c r="I870" s="60"/>
      <c r="J870" s="60"/>
      <c r="K870" s="60"/>
      <c r="L870" s="60"/>
      <c r="M870" s="60"/>
      <c r="N870" s="60"/>
      <c r="O870" s="60"/>
      <c r="P870" s="60"/>
      <c r="Q870" s="60"/>
      <c r="R870" s="60"/>
      <c r="S870" s="60"/>
      <c r="T870" s="60"/>
      <c r="U870" s="60"/>
      <c r="V870" s="60"/>
      <c r="W870" s="60"/>
    </row>
    <row r="871" spans="7:23" x14ac:dyDescent="0.25">
      <c r="G871" s="60"/>
      <c r="H871" s="60"/>
      <c r="I871" s="60"/>
      <c r="J871" s="60"/>
      <c r="K871" s="60"/>
      <c r="L871" s="60"/>
      <c r="M871" s="60"/>
      <c r="N871" s="60"/>
      <c r="O871" s="60"/>
      <c r="P871" s="60"/>
      <c r="Q871" s="60"/>
      <c r="R871" s="60"/>
      <c r="S871" s="60"/>
      <c r="T871" s="60"/>
      <c r="U871" s="60"/>
      <c r="V871" s="60"/>
      <c r="W871" s="60"/>
    </row>
    <row r="872" spans="7:23" x14ac:dyDescent="0.25">
      <c r="G872" s="60"/>
      <c r="H872" s="60"/>
      <c r="I872" s="60"/>
      <c r="J872" s="60"/>
      <c r="K872" s="60"/>
      <c r="L872" s="60"/>
      <c r="M872" s="60"/>
      <c r="N872" s="60"/>
      <c r="O872" s="60"/>
      <c r="P872" s="60"/>
      <c r="Q872" s="60"/>
      <c r="R872" s="60"/>
      <c r="S872" s="60"/>
      <c r="T872" s="60"/>
      <c r="U872" s="60"/>
      <c r="V872" s="60"/>
      <c r="W872" s="60"/>
    </row>
    <row r="873" spans="7:23" x14ac:dyDescent="0.25">
      <c r="G873" s="60"/>
      <c r="H873" s="60"/>
      <c r="I873" s="60"/>
      <c r="J873" s="60"/>
      <c r="K873" s="60"/>
      <c r="L873" s="60"/>
      <c r="M873" s="60"/>
      <c r="N873" s="60"/>
      <c r="O873" s="60"/>
      <c r="P873" s="60"/>
      <c r="Q873" s="60"/>
      <c r="R873" s="60"/>
      <c r="S873" s="60"/>
      <c r="T873" s="60"/>
      <c r="U873" s="60"/>
      <c r="V873" s="60"/>
      <c r="W873" s="60"/>
    </row>
    <row r="874" spans="7:23" x14ac:dyDescent="0.25">
      <c r="G874" s="60"/>
      <c r="H874" s="60"/>
      <c r="I874" s="60"/>
      <c r="J874" s="60"/>
      <c r="K874" s="60"/>
      <c r="L874" s="60"/>
      <c r="M874" s="60"/>
      <c r="N874" s="60"/>
      <c r="O874" s="60"/>
      <c r="P874" s="60"/>
      <c r="Q874" s="60"/>
      <c r="R874" s="60"/>
      <c r="S874" s="60"/>
      <c r="T874" s="60"/>
      <c r="U874" s="60"/>
      <c r="V874" s="60"/>
      <c r="W874" s="60"/>
    </row>
    <row r="875" spans="7:23" x14ac:dyDescent="0.25">
      <c r="G875" s="60"/>
      <c r="H875" s="60"/>
      <c r="I875" s="60"/>
      <c r="J875" s="60"/>
      <c r="K875" s="60"/>
      <c r="L875" s="60"/>
      <c r="M875" s="60"/>
      <c r="N875" s="60"/>
      <c r="O875" s="60"/>
      <c r="P875" s="60"/>
      <c r="Q875" s="60"/>
      <c r="R875" s="60"/>
      <c r="S875" s="60"/>
      <c r="T875" s="60"/>
      <c r="U875" s="60"/>
      <c r="V875" s="60"/>
      <c r="W875" s="60"/>
    </row>
    <row r="876" spans="7:23" x14ac:dyDescent="0.25">
      <c r="G876" s="60"/>
      <c r="H876" s="60"/>
      <c r="I876" s="60"/>
      <c r="J876" s="60"/>
      <c r="K876" s="60"/>
      <c r="L876" s="60"/>
      <c r="M876" s="60"/>
      <c r="N876" s="60"/>
      <c r="O876" s="60"/>
      <c r="P876" s="60"/>
      <c r="Q876" s="60"/>
      <c r="R876" s="60"/>
      <c r="S876" s="60"/>
      <c r="T876" s="60"/>
      <c r="U876" s="60"/>
      <c r="V876" s="60"/>
      <c r="W876" s="60"/>
    </row>
    <row r="877" spans="7:23" x14ac:dyDescent="0.25">
      <c r="G877" s="60"/>
      <c r="H877" s="60"/>
      <c r="I877" s="60"/>
      <c r="J877" s="60"/>
      <c r="K877" s="60"/>
      <c r="L877" s="60"/>
      <c r="M877" s="60"/>
      <c r="N877" s="60"/>
      <c r="O877" s="60"/>
      <c r="P877" s="60"/>
      <c r="Q877" s="60"/>
      <c r="R877" s="60"/>
      <c r="S877" s="60"/>
      <c r="T877" s="60"/>
      <c r="U877" s="60"/>
      <c r="V877" s="60"/>
      <c r="W877" s="60"/>
    </row>
    <row r="878" spans="7:23" x14ac:dyDescent="0.25">
      <c r="G878" s="60"/>
      <c r="H878" s="60"/>
      <c r="I878" s="60"/>
      <c r="J878" s="60"/>
      <c r="K878" s="60"/>
      <c r="L878" s="60"/>
      <c r="M878" s="60"/>
      <c r="N878" s="60"/>
      <c r="O878" s="60"/>
      <c r="P878" s="60"/>
      <c r="Q878" s="60"/>
      <c r="R878" s="60"/>
      <c r="S878" s="60"/>
      <c r="T878" s="60"/>
      <c r="U878" s="60"/>
      <c r="V878" s="60"/>
      <c r="W878" s="60"/>
    </row>
    <row r="879" spans="7:23" x14ac:dyDescent="0.25">
      <c r="G879" s="60"/>
      <c r="H879" s="60"/>
      <c r="I879" s="60"/>
      <c r="J879" s="60"/>
      <c r="K879" s="60"/>
      <c r="L879" s="60"/>
      <c r="M879" s="60"/>
      <c r="N879" s="60"/>
      <c r="O879" s="60"/>
      <c r="P879" s="60"/>
      <c r="Q879" s="60"/>
      <c r="R879" s="60"/>
      <c r="S879" s="60"/>
      <c r="T879" s="60"/>
      <c r="U879" s="60"/>
      <c r="V879" s="60"/>
      <c r="W879" s="60"/>
    </row>
    <row r="880" spans="7:23" x14ac:dyDescent="0.25">
      <c r="G880" s="60"/>
      <c r="H880" s="60"/>
      <c r="I880" s="60"/>
      <c r="J880" s="60"/>
      <c r="K880" s="60"/>
      <c r="L880" s="60"/>
      <c r="M880" s="60"/>
      <c r="N880" s="60"/>
      <c r="O880" s="60"/>
      <c r="P880" s="60"/>
      <c r="Q880" s="60"/>
      <c r="R880" s="60"/>
      <c r="S880" s="60"/>
      <c r="T880" s="60"/>
      <c r="U880" s="60"/>
      <c r="V880" s="60"/>
      <c r="W880" s="60"/>
    </row>
    <row r="881" spans="7:23" x14ac:dyDescent="0.25">
      <c r="G881" s="60"/>
      <c r="H881" s="60"/>
      <c r="I881" s="60"/>
      <c r="J881" s="60"/>
      <c r="K881" s="60"/>
      <c r="L881" s="60"/>
      <c r="M881" s="60"/>
      <c r="N881" s="60"/>
      <c r="O881" s="60"/>
      <c r="P881" s="60"/>
      <c r="Q881" s="60"/>
      <c r="R881" s="60"/>
      <c r="S881" s="60"/>
      <c r="T881" s="60"/>
      <c r="U881" s="60"/>
      <c r="V881" s="60"/>
      <c r="W881" s="60"/>
    </row>
    <row r="882" spans="7:23" x14ac:dyDescent="0.25">
      <c r="G882" s="60"/>
      <c r="H882" s="60"/>
      <c r="I882" s="60"/>
      <c r="J882" s="60"/>
      <c r="K882" s="60"/>
      <c r="L882" s="60"/>
      <c r="M882" s="60"/>
      <c r="N882" s="60"/>
      <c r="O882" s="60"/>
      <c r="P882" s="60"/>
      <c r="Q882" s="60"/>
      <c r="R882" s="60"/>
      <c r="S882" s="60"/>
      <c r="T882" s="60"/>
      <c r="U882" s="60"/>
      <c r="V882" s="60"/>
      <c r="W882" s="60"/>
    </row>
    <row r="883" spans="7:23" x14ac:dyDescent="0.25">
      <c r="G883" s="60"/>
      <c r="H883" s="60"/>
      <c r="I883" s="60"/>
      <c r="J883" s="60"/>
      <c r="K883" s="60"/>
      <c r="L883" s="60"/>
      <c r="M883" s="60"/>
      <c r="N883" s="60"/>
      <c r="O883" s="60"/>
      <c r="P883" s="60"/>
      <c r="Q883" s="60"/>
      <c r="R883" s="60"/>
      <c r="S883" s="60"/>
      <c r="T883" s="60"/>
      <c r="U883" s="60"/>
      <c r="V883" s="60"/>
      <c r="W883" s="60"/>
    </row>
    <row r="884" spans="7:23" x14ac:dyDescent="0.25">
      <c r="G884" s="60"/>
      <c r="H884" s="60"/>
      <c r="I884" s="60"/>
      <c r="J884" s="60"/>
      <c r="K884" s="60"/>
      <c r="L884" s="60"/>
      <c r="M884" s="60"/>
      <c r="N884" s="60"/>
      <c r="O884" s="60"/>
      <c r="P884" s="60"/>
      <c r="Q884" s="60"/>
      <c r="R884" s="60"/>
      <c r="S884" s="60"/>
      <c r="T884" s="60"/>
      <c r="U884" s="60"/>
      <c r="V884" s="60"/>
      <c r="W884" s="60"/>
    </row>
    <row r="885" spans="7:23" x14ac:dyDescent="0.25">
      <c r="G885" s="60"/>
      <c r="H885" s="60"/>
      <c r="I885" s="60"/>
      <c r="J885" s="60"/>
      <c r="K885" s="60"/>
      <c r="L885" s="60"/>
      <c r="M885" s="60"/>
      <c r="N885" s="60"/>
      <c r="O885" s="60"/>
      <c r="P885" s="60"/>
      <c r="Q885" s="60"/>
      <c r="R885" s="60"/>
      <c r="S885" s="60"/>
      <c r="T885" s="60"/>
      <c r="U885" s="60"/>
      <c r="V885" s="60"/>
      <c r="W885" s="60"/>
    </row>
    <row r="886" spans="7:23" x14ac:dyDescent="0.25">
      <c r="G886" s="60"/>
      <c r="H886" s="60"/>
      <c r="I886" s="60"/>
      <c r="J886" s="60"/>
      <c r="K886" s="60"/>
      <c r="L886" s="60"/>
      <c r="M886" s="60"/>
      <c r="N886" s="60"/>
      <c r="O886" s="60"/>
      <c r="P886" s="60"/>
      <c r="Q886" s="60"/>
      <c r="R886" s="60"/>
      <c r="S886" s="60"/>
      <c r="T886" s="60"/>
      <c r="U886" s="60"/>
      <c r="V886" s="60"/>
      <c r="W886" s="60"/>
    </row>
    <row r="887" spans="7:23" x14ac:dyDescent="0.25">
      <c r="G887" s="60"/>
      <c r="H887" s="60"/>
      <c r="I887" s="60"/>
      <c r="J887" s="60"/>
      <c r="K887" s="60"/>
      <c r="L887" s="60"/>
      <c r="M887" s="60"/>
      <c r="N887" s="60"/>
      <c r="O887" s="60"/>
      <c r="P887" s="60"/>
      <c r="Q887" s="60"/>
      <c r="R887" s="60"/>
      <c r="S887" s="60"/>
      <c r="T887" s="60"/>
      <c r="U887" s="60"/>
      <c r="V887" s="60"/>
      <c r="W887" s="60"/>
    </row>
    <row r="888" spans="7:23" x14ac:dyDescent="0.25">
      <c r="G888" s="60"/>
      <c r="H888" s="60"/>
      <c r="I888" s="60"/>
      <c r="J888" s="60"/>
      <c r="K888" s="60"/>
      <c r="L888" s="60"/>
      <c r="M888" s="60"/>
      <c r="N888" s="60"/>
      <c r="O888" s="60"/>
      <c r="P888" s="60"/>
      <c r="Q888" s="60"/>
      <c r="R888" s="60"/>
      <c r="S888" s="60"/>
      <c r="T888" s="60"/>
      <c r="U888" s="60"/>
      <c r="V888" s="60"/>
      <c r="W888" s="60"/>
    </row>
    <row r="889" spans="7:23" x14ac:dyDescent="0.25">
      <c r="G889" s="60"/>
      <c r="H889" s="60"/>
      <c r="I889" s="60"/>
      <c r="J889" s="60"/>
      <c r="K889" s="60"/>
      <c r="L889" s="60"/>
      <c r="M889" s="60"/>
      <c r="N889" s="60"/>
      <c r="O889" s="60"/>
      <c r="P889" s="60"/>
      <c r="Q889" s="60"/>
      <c r="R889" s="60"/>
      <c r="S889" s="60"/>
      <c r="T889" s="60"/>
      <c r="U889" s="60"/>
      <c r="V889" s="60"/>
      <c r="W889" s="60"/>
    </row>
    <row r="890" spans="7:23" x14ac:dyDescent="0.25">
      <c r="G890" s="60"/>
      <c r="H890" s="60"/>
      <c r="I890" s="60"/>
      <c r="J890" s="60"/>
      <c r="K890" s="60"/>
      <c r="L890" s="60"/>
      <c r="M890" s="60"/>
      <c r="N890" s="60"/>
      <c r="O890" s="60"/>
      <c r="P890" s="60"/>
      <c r="Q890" s="60"/>
      <c r="R890" s="60"/>
      <c r="S890" s="60"/>
      <c r="T890" s="60"/>
      <c r="U890" s="60"/>
      <c r="V890" s="60"/>
      <c r="W890" s="60"/>
    </row>
    <row r="891" spans="7:23" x14ac:dyDescent="0.25">
      <c r="G891" s="60"/>
      <c r="H891" s="60"/>
      <c r="I891" s="60"/>
      <c r="J891" s="60"/>
      <c r="K891" s="60"/>
      <c r="L891" s="60"/>
      <c r="M891" s="60"/>
      <c r="N891" s="60"/>
      <c r="O891" s="60"/>
      <c r="P891" s="60"/>
      <c r="Q891" s="60"/>
      <c r="R891" s="60"/>
      <c r="S891" s="60"/>
      <c r="T891" s="60"/>
      <c r="U891" s="60"/>
      <c r="V891" s="60"/>
      <c r="W891" s="60"/>
    </row>
    <row r="892" spans="7:23" x14ac:dyDescent="0.25">
      <c r="G892" s="60"/>
      <c r="H892" s="60"/>
      <c r="I892" s="60"/>
      <c r="J892" s="60"/>
      <c r="K892" s="60"/>
      <c r="L892" s="60"/>
      <c r="M892" s="60"/>
      <c r="N892" s="60"/>
      <c r="O892" s="60"/>
      <c r="P892" s="60"/>
      <c r="Q892" s="60"/>
      <c r="R892" s="60"/>
      <c r="S892" s="60"/>
      <c r="T892" s="60"/>
      <c r="U892" s="60"/>
      <c r="V892" s="60"/>
      <c r="W892" s="60"/>
    </row>
    <row r="893" spans="7:23" x14ac:dyDescent="0.25">
      <c r="G893" s="60"/>
      <c r="H893" s="60"/>
      <c r="I893" s="60"/>
      <c r="J893" s="60"/>
      <c r="K893" s="60"/>
      <c r="L893" s="60"/>
      <c r="M893" s="60"/>
      <c r="N893" s="60"/>
      <c r="O893" s="60"/>
      <c r="P893" s="60"/>
      <c r="Q893" s="60"/>
      <c r="R893" s="60"/>
      <c r="S893" s="60"/>
      <c r="T893" s="60"/>
      <c r="U893" s="60"/>
      <c r="V893" s="60"/>
      <c r="W893" s="60"/>
    </row>
    <row r="894" spans="7:23" x14ac:dyDescent="0.25">
      <c r="G894" s="60"/>
      <c r="H894" s="60"/>
      <c r="I894" s="60"/>
      <c r="J894" s="60"/>
      <c r="K894" s="60"/>
      <c r="L894" s="60"/>
      <c r="M894" s="60"/>
      <c r="N894" s="60"/>
      <c r="O894" s="60"/>
      <c r="P894" s="60"/>
      <c r="Q894" s="60"/>
      <c r="R894" s="60"/>
      <c r="S894" s="60"/>
      <c r="T894" s="60"/>
      <c r="U894" s="60"/>
      <c r="V894" s="60"/>
      <c r="W894" s="60"/>
    </row>
    <row r="895" spans="7:23" x14ac:dyDescent="0.25">
      <c r="G895" s="60"/>
      <c r="H895" s="60"/>
      <c r="I895" s="60"/>
      <c r="J895" s="60"/>
      <c r="K895" s="60"/>
      <c r="L895" s="60"/>
      <c r="M895" s="60"/>
      <c r="N895" s="60"/>
      <c r="O895" s="60"/>
      <c r="P895" s="60"/>
      <c r="Q895" s="60"/>
      <c r="R895" s="60"/>
      <c r="S895" s="60"/>
      <c r="T895" s="60"/>
      <c r="U895" s="60"/>
      <c r="V895" s="60"/>
      <c r="W895" s="60"/>
    </row>
    <row r="896" spans="7:23" x14ac:dyDescent="0.25">
      <c r="G896" s="60"/>
      <c r="H896" s="60"/>
      <c r="I896" s="60"/>
      <c r="J896" s="60"/>
      <c r="K896" s="60"/>
      <c r="L896" s="60"/>
      <c r="M896" s="60"/>
      <c r="N896" s="60"/>
      <c r="O896" s="60"/>
      <c r="P896" s="60"/>
      <c r="Q896" s="60"/>
      <c r="R896" s="60"/>
      <c r="S896" s="60"/>
      <c r="T896" s="60"/>
      <c r="U896" s="60"/>
      <c r="V896" s="60"/>
      <c r="W896" s="60"/>
    </row>
    <row r="897" spans="7:23" x14ac:dyDescent="0.25">
      <c r="G897" s="60"/>
      <c r="H897" s="60"/>
      <c r="I897" s="60"/>
      <c r="J897" s="60"/>
      <c r="K897" s="60"/>
      <c r="L897" s="60"/>
      <c r="M897" s="60"/>
      <c r="N897" s="60"/>
      <c r="O897" s="60"/>
      <c r="P897" s="60"/>
      <c r="Q897" s="60"/>
      <c r="R897" s="60"/>
      <c r="S897" s="60"/>
      <c r="T897" s="60"/>
      <c r="U897" s="60"/>
      <c r="V897" s="60"/>
      <c r="W897" s="60"/>
    </row>
    <row r="898" spans="7:23" x14ac:dyDescent="0.25">
      <c r="G898" s="60"/>
      <c r="H898" s="60"/>
      <c r="I898" s="60"/>
      <c r="J898" s="60"/>
      <c r="K898" s="60"/>
      <c r="L898" s="60"/>
      <c r="M898" s="60"/>
      <c r="N898" s="60"/>
      <c r="O898" s="60"/>
      <c r="P898" s="60"/>
      <c r="Q898" s="60"/>
      <c r="R898" s="60"/>
      <c r="S898" s="60"/>
      <c r="T898" s="60"/>
      <c r="U898" s="60"/>
      <c r="V898" s="60"/>
      <c r="W898" s="60"/>
    </row>
    <row r="899" spans="7:23" x14ac:dyDescent="0.25">
      <c r="G899" s="60"/>
      <c r="H899" s="60"/>
      <c r="I899" s="60"/>
      <c r="J899" s="60"/>
      <c r="K899" s="60"/>
      <c r="L899" s="60"/>
      <c r="M899" s="60"/>
      <c r="N899" s="60"/>
      <c r="O899" s="60"/>
      <c r="P899" s="60"/>
      <c r="Q899" s="60"/>
      <c r="R899" s="60"/>
      <c r="S899" s="60"/>
      <c r="T899" s="60"/>
      <c r="U899" s="60"/>
      <c r="V899" s="60"/>
      <c r="W899" s="60"/>
    </row>
    <row r="900" spans="7:23" x14ac:dyDescent="0.25">
      <c r="G900" s="60"/>
      <c r="H900" s="60"/>
      <c r="I900" s="60"/>
      <c r="J900" s="60"/>
      <c r="K900" s="60"/>
      <c r="L900" s="60"/>
      <c r="M900" s="60"/>
      <c r="N900" s="60"/>
      <c r="O900" s="60"/>
      <c r="P900" s="60"/>
      <c r="Q900" s="60"/>
      <c r="R900" s="60"/>
      <c r="S900" s="60"/>
      <c r="T900" s="60"/>
      <c r="U900" s="60"/>
      <c r="V900" s="60"/>
      <c r="W900" s="60"/>
    </row>
    <row r="901" spans="7:23" x14ac:dyDescent="0.25">
      <c r="G901" s="60"/>
      <c r="H901" s="60"/>
      <c r="I901" s="60"/>
      <c r="J901" s="60"/>
      <c r="K901" s="60"/>
      <c r="L901" s="60"/>
      <c r="M901" s="60"/>
      <c r="N901" s="60"/>
      <c r="O901" s="60"/>
      <c r="P901" s="60"/>
      <c r="Q901" s="60"/>
      <c r="R901" s="60"/>
      <c r="S901" s="60"/>
      <c r="T901" s="60"/>
      <c r="U901" s="60"/>
      <c r="V901" s="60"/>
      <c r="W901" s="60"/>
    </row>
    <row r="902" spans="7:23" x14ac:dyDescent="0.25">
      <c r="G902" s="60"/>
      <c r="H902" s="60"/>
      <c r="I902" s="60"/>
      <c r="J902" s="60"/>
      <c r="K902" s="60"/>
      <c r="L902" s="60"/>
      <c r="M902" s="60"/>
      <c r="N902" s="60"/>
      <c r="O902" s="60"/>
      <c r="P902" s="60"/>
      <c r="Q902" s="60"/>
      <c r="R902" s="60"/>
      <c r="S902" s="60"/>
      <c r="T902" s="60"/>
      <c r="U902" s="60"/>
      <c r="V902" s="60"/>
      <c r="W902" s="60"/>
    </row>
    <row r="903" spans="7:23" x14ac:dyDescent="0.25">
      <c r="G903" s="60"/>
      <c r="H903" s="60"/>
      <c r="I903" s="60"/>
      <c r="J903" s="60"/>
      <c r="K903" s="60"/>
      <c r="L903" s="60"/>
      <c r="M903" s="60"/>
      <c r="N903" s="60"/>
      <c r="O903" s="60"/>
      <c r="P903" s="60"/>
      <c r="Q903" s="60"/>
      <c r="R903" s="60"/>
      <c r="S903" s="60"/>
      <c r="T903" s="60"/>
      <c r="U903" s="60"/>
      <c r="V903" s="60"/>
      <c r="W903" s="60"/>
    </row>
    <row r="904" spans="7:23" x14ac:dyDescent="0.25">
      <c r="G904" s="60"/>
      <c r="H904" s="60"/>
      <c r="I904" s="60"/>
      <c r="J904" s="60"/>
      <c r="K904" s="60"/>
      <c r="L904" s="60"/>
      <c r="M904" s="60"/>
      <c r="N904" s="60"/>
      <c r="O904" s="60"/>
      <c r="P904" s="60"/>
      <c r="Q904" s="60"/>
      <c r="R904" s="60"/>
      <c r="S904" s="60"/>
      <c r="T904" s="60"/>
      <c r="U904" s="60"/>
      <c r="V904" s="60"/>
      <c r="W904" s="60"/>
    </row>
    <row r="905" spans="7:23" x14ac:dyDescent="0.25">
      <c r="G905" s="60"/>
      <c r="H905" s="60"/>
      <c r="I905" s="60"/>
      <c r="J905" s="60"/>
      <c r="K905" s="60"/>
      <c r="L905" s="60"/>
      <c r="M905" s="60"/>
      <c r="N905" s="60"/>
      <c r="O905" s="60"/>
      <c r="P905" s="60"/>
      <c r="Q905" s="60"/>
      <c r="R905" s="60"/>
      <c r="S905" s="60"/>
      <c r="T905" s="60"/>
      <c r="U905" s="60"/>
      <c r="V905" s="60"/>
      <c r="W905" s="60"/>
    </row>
    <row r="906" spans="7:23" x14ac:dyDescent="0.25">
      <c r="G906" s="60"/>
      <c r="H906" s="60"/>
      <c r="I906" s="60"/>
      <c r="J906" s="60"/>
      <c r="K906" s="60"/>
      <c r="L906" s="60"/>
      <c r="M906" s="60"/>
      <c r="N906" s="60"/>
      <c r="O906" s="60"/>
      <c r="P906" s="60"/>
      <c r="Q906" s="60"/>
      <c r="R906" s="60"/>
      <c r="S906" s="60"/>
      <c r="T906" s="60"/>
      <c r="U906" s="60"/>
      <c r="V906" s="60"/>
      <c r="W906" s="60"/>
    </row>
    <row r="907" spans="7:23" x14ac:dyDescent="0.25">
      <c r="G907" s="60"/>
      <c r="H907" s="60"/>
      <c r="I907" s="60"/>
      <c r="J907" s="60"/>
      <c r="K907" s="60"/>
      <c r="L907" s="60"/>
      <c r="M907" s="60"/>
      <c r="N907" s="60"/>
      <c r="O907" s="60"/>
      <c r="P907" s="60"/>
      <c r="Q907" s="60"/>
      <c r="R907" s="60"/>
      <c r="S907" s="60"/>
      <c r="T907" s="60"/>
      <c r="U907" s="60"/>
      <c r="V907" s="60"/>
      <c r="W907" s="60"/>
    </row>
    <row r="908" spans="7:23" x14ac:dyDescent="0.25">
      <c r="G908" s="60"/>
      <c r="H908" s="60"/>
      <c r="I908" s="60"/>
      <c r="J908" s="60"/>
      <c r="K908" s="60"/>
      <c r="L908" s="60"/>
      <c r="M908" s="60"/>
      <c r="N908" s="60"/>
      <c r="O908" s="60"/>
      <c r="P908" s="60"/>
      <c r="Q908" s="60"/>
      <c r="R908" s="60"/>
      <c r="S908" s="60"/>
      <c r="T908" s="60"/>
      <c r="U908" s="60"/>
      <c r="V908" s="60"/>
      <c r="W908" s="60"/>
    </row>
    <row r="909" spans="7:23" x14ac:dyDescent="0.25">
      <c r="G909" s="60"/>
      <c r="H909" s="60"/>
      <c r="I909" s="60"/>
      <c r="J909" s="60"/>
      <c r="K909" s="60"/>
      <c r="L909" s="60"/>
      <c r="M909" s="60"/>
      <c r="N909" s="60"/>
      <c r="O909" s="60"/>
      <c r="P909" s="60"/>
      <c r="Q909" s="60"/>
      <c r="R909" s="60"/>
      <c r="S909" s="60"/>
      <c r="T909" s="60"/>
      <c r="U909" s="60"/>
      <c r="V909" s="60"/>
      <c r="W909" s="60"/>
    </row>
    <row r="910" spans="7:23" x14ac:dyDescent="0.25">
      <c r="G910" s="60"/>
      <c r="H910" s="60"/>
      <c r="I910" s="60"/>
      <c r="J910" s="60"/>
      <c r="K910" s="60"/>
      <c r="L910" s="60"/>
      <c r="M910" s="60"/>
      <c r="N910" s="60"/>
      <c r="O910" s="60"/>
      <c r="P910" s="60"/>
      <c r="Q910" s="60"/>
      <c r="R910" s="60"/>
      <c r="S910" s="60"/>
      <c r="T910" s="60"/>
      <c r="U910" s="60"/>
      <c r="V910" s="60"/>
      <c r="W910" s="60"/>
    </row>
    <row r="911" spans="7:23" x14ac:dyDescent="0.25">
      <c r="G911" s="60"/>
      <c r="H911" s="60"/>
      <c r="I911" s="60"/>
      <c r="J911" s="60"/>
      <c r="K911" s="60"/>
      <c r="L911" s="60"/>
      <c r="M911" s="60"/>
      <c r="N911" s="60"/>
      <c r="O911" s="60"/>
      <c r="P911" s="60"/>
      <c r="Q911" s="60"/>
      <c r="R911" s="60"/>
      <c r="S911" s="60"/>
      <c r="T911" s="60"/>
      <c r="U911" s="60"/>
      <c r="V911" s="60"/>
      <c r="W911" s="60"/>
    </row>
    <row r="912" spans="7:23" x14ac:dyDescent="0.25">
      <c r="G912" s="60"/>
      <c r="H912" s="60"/>
      <c r="I912" s="60"/>
      <c r="J912" s="60"/>
      <c r="K912" s="60"/>
      <c r="L912" s="60"/>
      <c r="M912" s="60"/>
      <c r="N912" s="60"/>
      <c r="O912" s="60"/>
      <c r="P912" s="60"/>
      <c r="Q912" s="60"/>
      <c r="R912" s="60"/>
      <c r="S912" s="60"/>
      <c r="T912" s="60"/>
      <c r="U912" s="60"/>
      <c r="V912" s="60"/>
      <c r="W912" s="60"/>
    </row>
    <row r="913" spans="7:23" x14ac:dyDescent="0.25">
      <c r="G913" s="60"/>
      <c r="H913" s="60"/>
      <c r="I913" s="60"/>
      <c r="J913" s="60"/>
      <c r="K913" s="60"/>
      <c r="L913" s="60"/>
      <c r="M913" s="60"/>
      <c r="N913" s="60"/>
      <c r="O913" s="60"/>
      <c r="P913" s="60"/>
      <c r="Q913" s="60"/>
      <c r="R913" s="60"/>
      <c r="S913" s="60"/>
      <c r="T913" s="60"/>
      <c r="U913" s="60"/>
      <c r="V913" s="60"/>
      <c r="W913" s="60"/>
    </row>
    <row r="914" spans="7:23" x14ac:dyDescent="0.25">
      <c r="G914" s="60"/>
      <c r="H914" s="60"/>
      <c r="I914" s="60"/>
      <c r="J914" s="60"/>
      <c r="K914" s="60"/>
      <c r="L914" s="60"/>
      <c r="M914" s="60"/>
      <c r="N914" s="60"/>
      <c r="O914" s="60"/>
      <c r="P914" s="60"/>
      <c r="Q914" s="60"/>
      <c r="R914" s="60"/>
      <c r="S914" s="60"/>
      <c r="T914" s="60"/>
      <c r="U914" s="60"/>
      <c r="V914" s="60"/>
      <c r="W914" s="60"/>
    </row>
    <row r="915" spans="7:23" x14ac:dyDescent="0.25">
      <c r="G915" s="60"/>
      <c r="H915" s="60"/>
      <c r="I915" s="60"/>
      <c r="J915" s="60"/>
      <c r="K915" s="60"/>
      <c r="L915" s="60"/>
      <c r="M915" s="60"/>
      <c r="N915" s="60"/>
      <c r="O915" s="60"/>
      <c r="P915" s="60"/>
      <c r="Q915" s="60"/>
      <c r="R915" s="60"/>
      <c r="S915" s="60"/>
      <c r="T915" s="60"/>
      <c r="U915" s="60"/>
      <c r="V915" s="60"/>
      <c r="W915" s="60"/>
    </row>
    <row r="916" spans="7:23" x14ac:dyDescent="0.25">
      <c r="G916" s="60"/>
      <c r="H916" s="60"/>
      <c r="I916" s="60"/>
      <c r="J916" s="60"/>
      <c r="K916" s="60"/>
      <c r="L916" s="60"/>
      <c r="M916" s="60"/>
      <c r="N916" s="60"/>
      <c r="O916" s="60"/>
      <c r="P916" s="60"/>
      <c r="Q916" s="60"/>
      <c r="R916" s="60"/>
      <c r="S916" s="60"/>
      <c r="T916" s="60"/>
      <c r="U916" s="60"/>
      <c r="V916" s="60"/>
      <c r="W916" s="60"/>
    </row>
    <row r="917" spans="7:23" x14ac:dyDescent="0.25">
      <c r="G917" s="60"/>
      <c r="H917" s="60"/>
      <c r="I917" s="60"/>
      <c r="J917" s="60"/>
      <c r="K917" s="60"/>
      <c r="L917" s="60"/>
      <c r="M917" s="60"/>
      <c r="N917" s="60"/>
      <c r="O917" s="60"/>
      <c r="P917" s="60"/>
      <c r="Q917" s="60"/>
      <c r="R917" s="60"/>
      <c r="S917" s="60"/>
      <c r="T917" s="60"/>
      <c r="U917" s="60"/>
      <c r="V917" s="60"/>
      <c r="W917" s="60"/>
    </row>
    <row r="918" spans="7:23" x14ac:dyDescent="0.25">
      <c r="G918" s="60"/>
      <c r="H918" s="60"/>
      <c r="I918" s="60"/>
      <c r="J918" s="60"/>
      <c r="K918" s="60"/>
      <c r="L918" s="60"/>
      <c r="M918" s="60"/>
      <c r="N918" s="60"/>
      <c r="O918" s="60"/>
      <c r="P918" s="60"/>
      <c r="Q918" s="60"/>
      <c r="R918" s="60"/>
      <c r="S918" s="60"/>
      <c r="T918" s="60"/>
      <c r="U918" s="60"/>
      <c r="V918" s="60"/>
      <c r="W918" s="60"/>
    </row>
    <row r="919" spans="7:23" x14ac:dyDescent="0.25">
      <c r="G919" s="60"/>
      <c r="H919" s="60"/>
      <c r="I919" s="60"/>
      <c r="J919" s="60"/>
      <c r="K919" s="60"/>
      <c r="L919" s="60"/>
      <c r="M919" s="60"/>
      <c r="N919" s="60"/>
      <c r="O919" s="60"/>
      <c r="P919" s="60"/>
      <c r="Q919" s="60"/>
      <c r="R919" s="60"/>
      <c r="S919" s="60"/>
      <c r="T919" s="60"/>
      <c r="U919" s="60"/>
      <c r="V919" s="60"/>
      <c r="W919" s="60"/>
    </row>
    <row r="920" spans="7:23" x14ac:dyDescent="0.25">
      <c r="G920" s="60"/>
      <c r="H920" s="60"/>
      <c r="I920" s="60"/>
      <c r="J920" s="60"/>
      <c r="K920" s="60"/>
      <c r="L920" s="60"/>
      <c r="M920" s="60"/>
      <c r="N920" s="60"/>
      <c r="O920" s="60"/>
      <c r="P920" s="60"/>
      <c r="Q920" s="60"/>
      <c r="R920" s="60"/>
      <c r="S920" s="60"/>
      <c r="T920" s="60"/>
      <c r="U920" s="60"/>
      <c r="V920" s="60"/>
      <c r="W920" s="60"/>
    </row>
    <row r="921" spans="7:23" x14ac:dyDescent="0.25">
      <c r="G921" s="60"/>
      <c r="H921" s="60"/>
      <c r="I921" s="60"/>
      <c r="J921" s="60"/>
      <c r="K921" s="60"/>
      <c r="L921" s="60"/>
      <c r="M921" s="60"/>
      <c r="N921" s="60"/>
      <c r="O921" s="60"/>
      <c r="P921" s="60"/>
      <c r="Q921" s="60"/>
      <c r="R921" s="60"/>
      <c r="S921" s="60"/>
      <c r="T921" s="60"/>
      <c r="U921" s="60"/>
      <c r="V921" s="60"/>
      <c r="W921" s="60"/>
    </row>
    <row r="922" spans="7:23" x14ac:dyDescent="0.25">
      <c r="G922" s="60"/>
      <c r="H922" s="60"/>
      <c r="I922" s="60"/>
      <c r="J922" s="60"/>
      <c r="K922" s="60"/>
      <c r="L922" s="60"/>
      <c r="M922" s="60"/>
      <c r="N922" s="60"/>
      <c r="O922" s="60"/>
      <c r="P922" s="60"/>
      <c r="Q922" s="60"/>
      <c r="R922" s="60"/>
      <c r="S922" s="60"/>
      <c r="T922" s="60"/>
      <c r="U922" s="60"/>
      <c r="V922" s="60"/>
      <c r="W922" s="60"/>
    </row>
    <row r="923" spans="7:23" x14ac:dyDescent="0.25">
      <c r="G923" s="60"/>
      <c r="H923" s="60"/>
      <c r="I923" s="60"/>
      <c r="J923" s="60"/>
      <c r="K923" s="60"/>
      <c r="L923" s="60"/>
      <c r="M923" s="60"/>
      <c r="N923" s="60"/>
      <c r="O923" s="60"/>
      <c r="P923" s="60"/>
      <c r="Q923" s="60"/>
      <c r="R923" s="60"/>
      <c r="S923" s="60"/>
      <c r="T923" s="60"/>
      <c r="U923" s="60"/>
      <c r="V923" s="60"/>
      <c r="W923" s="60"/>
    </row>
    <row r="924" spans="7:23" x14ac:dyDescent="0.25">
      <c r="G924" s="60"/>
      <c r="H924" s="60"/>
      <c r="I924" s="60"/>
      <c r="J924" s="60"/>
      <c r="K924" s="60"/>
      <c r="L924" s="60"/>
      <c r="M924" s="60"/>
      <c r="N924" s="60"/>
      <c r="O924" s="60"/>
      <c r="P924" s="60"/>
      <c r="Q924" s="60"/>
      <c r="R924" s="60"/>
      <c r="S924" s="60"/>
      <c r="T924" s="60"/>
      <c r="U924" s="60"/>
      <c r="V924" s="60"/>
      <c r="W924" s="60"/>
    </row>
    <row r="925" spans="7:23" x14ac:dyDescent="0.25">
      <c r="G925" s="60"/>
      <c r="H925" s="60"/>
      <c r="I925" s="60"/>
      <c r="J925" s="60"/>
      <c r="K925" s="60"/>
      <c r="L925" s="60"/>
      <c r="M925" s="60"/>
      <c r="N925" s="60"/>
      <c r="O925" s="60"/>
      <c r="P925" s="60"/>
      <c r="Q925" s="60"/>
      <c r="R925" s="60"/>
      <c r="S925" s="60"/>
      <c r="T925" s="60"/>
      <c r="U925" s="60"/>
      <c r="V925" s="60"/>
      <c r="W925" s="60"/>
    </row>
    <row r="926" spans="7:23" x14ac:dyDescent="0.25">
      <c r="G926" s="60"/>
      <c r="H926" s="60"/>
      <c r="I926" s="60"/>
      <c r="J926" s="60"/>
      <c r="K926" s="60"/>
      <c r="L926" s="60"/>
      <c r="M926" s="60"/>
      <c r="N926" s="60"/>
      <c r="O926" s="60"/>
      <c r="P926" s="60"/>
      <c r="Q926" s="60"/>
      <c r="R926" s="60"/>
      <c r="S926" s="60"/>
      <c r="T926" s="60"/>
      <c r="U926" s="60"/>
      <c r="V926" s="60"/>
      <c r="W926" s="60"/>
    </row>
    <row r="927" spans="7:23" x14ac:dyDescent="0.25">
      <c r="G927" s="60"/>
      <c r="H927" s="60"/>
      <c r="I927" s="60"/>
      <c r="J927" s="60"/>
      <c r="K927" s="60"/>
      <c r="L927" s="60"/>
      <c r="M927" s="60"/>
      <c r="N927" s="60"/>
      <c r="O927" s="60"/>
      <c r="P927" s="60"/>
      <c r="Q927" s="60"/>
      <c r="R927" s="60"/>
      <c r="S927" s="60"/>
      <c r="T927" s="60"/>
      <c r="U927" s="60"/>
      <c r="V927" s="60"/>
      <c r="W927" s="60"/>
    </row>
    <row r="928" spans="7:23" x14ac:dyDescent="0.25">
      <c r="G928" s="60"/>
      <c r="H928" s="60"/>
      <c r="I928" s="60"/>
      <c r="J928" s="60"/>
      <c r="K928" s="60"/>
      <c r="L928" s="60"/>
      <c r="M928" s="60"/>
      <c r="N928" s="60"/>
      <c r="O928" s="60"/>
      <c r="P928" s="60"/>
      <c r="Q928" s="60"/>
      <c r="R928" s="60"/>
      <c r="S928" s="60"/>
      <c r="T928" s="60"/>
      <c r="U928" s="60"/>
      <c r="V928" s="60"/>
      <c r="W928" s="60"/>
    </row>
    <row r="929" spans="7:23" x14ac:dyDescent="0.25">
      <c r="G929" s="60"/>
      <c r="H929" s="60"/>
      <c r="I929" s="60"/>
      <c r="J929" s="60"/>
      <c r="K929" s="60"/>
      <c r="L929" s="60"/>
      <c r="M929" s="60"/>
      <c r="N929" s="60"/>
      <c r="O929" s="60"/>
      <c r="P929" s="60"/>
      <c r="Q929" s="60"/>
      <c r="R929" s="60"/>
      <c r="S929" s="60"/>
      <c r="T929" s="60"/>
      <c r="U929" s="60"/>
      <c r="V929" s="60"/>
      <c r="W929" s="60"/>
    </row>
    <row r="930" spans="7:23" x14ac:dyDescent="0.25">
      <c r="G930" s="60"/>
      <c r="H930" s="60"/>
      <c r="I930" s="60"/>
      <c r="J930" s="60"/>
      <c r="K930" s="60"/>
      <c r="L930" s="60"/>
      <c r="M930" s="60"/>
      <c r="N930" s="60"/>
      <c r="O930" s="60"/>
      <c r="P930" s="60"/>
      <c r="Q930" s="60"/>
      <c r="R930" s="60"/>
      <c r="S930" s="60"/>
      <c r="T930" s="60"/>
      <c r="U930" s="60"/>
      <c r="V930" s="60"/>
      <c r="W930" s="60"/>
    </row>
    <row r="931" spans="7:23" x14ac:dyDescent="0.25">
      <c r="G931" s="60"/>
      <c r="H931" s="60"/>
      <c r="I931" s="60"/>
      <c r="J931" s="60"/>
      <c r="K931" s="60"/>
      <c r="L931" s="60"/>
      <c r="M931" s="60"/>
      <c r="N931" s="60"/>
      <c r="O931" s="60"/>
      <c r="P931" s="60"/>
      <c r="Q931" s="60"/>
      <c r="R931" s="60"/>
      <c r="S931" s="60"/>
      <c r="T931" s="60"/>
      <c r="U931" s="60"/>
      <c r="V931" s="60"/>
      <c r="W931" s="60"/>
    </row>
    <row r="932" spans="7:23" x14ac:dyDescent="0.25">
      <c r="G932" s="60"/>
      <c r="H932" s="60"/>
      <c r="I932" s="60"/>
      <c r="J932" s="60"/>
      <c r="K932" s="60"/>
      <c r="L932" s="60"/>
      <c r="M932" s="60"/>
      <c r="N932" s="60"/>
      <c r="O932" s="60"/>
      <c r="P932" s="60"/>
      <c r="Q932" s="60"/>
      <c r="R932" s="60"/>
      <c r="S932" s="60"/>
      <c r="T932" s="60"/>
      <c r="U932" s="60"/>
      <c r="V932" s="60"/>
      <c r="W932" s="60"/>
    </row>
    <row r="933" spans="7:23" x14ac:dyDescent="0.25">
      <c r="G933" s="60"/>
      <c r="H933" s="60"/>
      <c r="I933" s="60"/>
      <c r="J933" s="60"/>
      <c r="K933" s="60"/>
      <c r="L933" s="60"/>
      <c r="M933" s="60"/>
      <c r="N933" s="60"/>
      <c r="O933" s="60"/>
      <c r="P933" s="60"/>
      <c r="Q933" s="60"/>
      <c r="R933" s="60"/>
      <c r="S933" s="60"/>
      <c r="T933" s="60"/>
      <c r="U933" s="60"/>
      <c r="V933" s="60"/>
      <c r="W933" s="60"/>
    </row>
    <row r="934" spans="7:23" x14ac:dyDescent="0.25">
      <c r="G934" s="60"/>
      <c r="H934" s="60"/>
      <c r="I934" s="60"/>
      <c r="J934" s="60"/>
      <c r="K934" s="60"/>
      <c r="L934" s="60"/>
      <c r="M934" s="60"/>
      <c r="N934" s="60"/>
      <c r="O934" s="60"/>
      <c r="P934" s="60"/>
      <c r="Q934" s="60"/>
      <c r="R934" s="60"/>
      <c r="S934" s="60"/>
      <c r="T934" s="60"/>
      <c r="U934" s="60"/>
      <c r="V934" s="60"/>
      <c r="W934" s="60"/>
    </row>
    <row r="935" spans="7:23" x14ac:dyDescent="0.25">
      <c r="G935" s="60"/>
      <c r="H935" s="60"/>
      <c r="I935" s="60"/>
      <c r="J935" s="60"/>
      <c r="K935" s="60"/>
      <c r="L935" s="60"/>
      <c r="M935" s="60"/>
      <c r="N935" s="60"/>
      <c r="O935" s="60"/>
      <c r="P935" s="60"/>
      <c r="Q935" s="60"/>
      <c r="R935" s="60"/>
      <c r="S935" s="60"/>
      <c r="T935" s="60"/>
      <c r="U935" s="60"/>
      <c r="V935" s="60"/>
      <c r="W935" s="60"/>
    </row>
    <row r="936" spans="7:23" x14ac:dyDescent="0.25">
      <c r="G936" s="60"/>
      <c r="H936" s="60"/>
      <c r="I936" s="60"/>
      <c r="J936" s="60"/>
      <c r="K936" s="60"/>
      <c r="L936" s="60"/>
      <c r="M936" s="60"/>
      <c r="N936" s="60"/>
      <c r="O936" s="60"/>
      <c r="P936" s="60"/>
      <c r="Q936" s="60"/>
      <c r="R936" s="60"/>
      <c r="S936" s="60"/>
      <c r="T936" s="60"/>
      <c r="U936" s="60"/>
      <c r="V936" s="60"/>
      <c r="W936" s="60"/>
    </row>
    <row r="937" spans="7:23" x14ac:dyDescent="0.25">
      <c r="G937" s="60"/>
      <c r="H937" s="60"/>
      <c r="I937" s="60"/>
      <c r="J937" s="60"/>
      <c r="K937" s="60"/>
      <c r="L937" s="60"/>
      <c r="M937" s="60"/>
      <c r="N937" s="60"/>
      <c r="O937" s="60"/>
      <c r="P937" s="60"/>
      <c r="Q937" s="60"/>
      <c r="R937" s="60"/>
      <c r="S937" s="60"/>
      <c r="T937" s="60"/>
      <c r="U937" s="60"/>
      <c r="V937" s="60"/>
      <c r="W937" s="60"/>
    </row>
    <row r="938" spans="7:23" x14ac:dyDescent="0.25">
      <c r="G938" s="60"/>
      <c r="H938" s="60"/>
      <c r="I938" s="60"/>
      <c r="J938" s="60"/>
      <c r="K938" s="60"/>
      <c r="L938" s="60"/>
      <c r="M938" s="60"/>
      <c r="N938" s="60"/>
      <c r="O938" s="60"/>
      <c r="P938" s="60"/>
      <c r="Q938" s="60"/>
      <c r="R938" s="60"/>
      <c r="S938" s="60"/>
      <c r="T938" s="60"/>
      <c r="U938" s="60"/>
      <c r="V938" s="60"/>
      <c r="W938" s="60"/>
    </row>
    <row r="939" spans="7:23" x14ac:dyDescent="0.25">
      <c r="G939" s="60"/>
      <c r="H939" s="60"/>
      <c r="I939" s="60"/>
      <c r="J939" s="60"/>
      <c r="K939" s="60"/>
      <c r="L939" s="60"/>
      <c r="M939" s="60"/>
      <c r="N939" s="60"/>
      <c r="O939" s="60"/>
      <c r="P939" s="60"/>
      <c r="Q939" s="60"/>
      <c r="R939" s="60"/>
      <c r="S939" s="60"/>
      <c r="T939" s="60"/>
      <c r="U939" s="60"/>
      <c r="V939" s="60"/>
      <c r="W939" s="60"/>
    </row>
    <row r="940" spans="7:23" x14ac:dyDescent="0.25">
      <c r="G940" s="60"/>
      <c r="H940" s="60"/>
      <c r="I940" s="60"/>
      <c r="J940" s="60"/>
      <c r="K940" s="60"/>
      <c r="L940" s="60"/>
      <c r="M940" s="60"/>
      <c r="N940" s="60"/>
      <c r="O940" s="60"/>
      <c r="P940" s="60"/>
      <c r="Q940" s="60"/>
      <c r="R940" s="60"/>
      <c r="S940" s="60"/>
      <c r="T940" s="60"/>
      <c r="U940" s="60"/>
      <c r="V940" s="60"/>
      <c r="W940" s="60"/>
    </row>
    <row r="941" spans="7:23" x14ac:dyDescent="0.25">
      <c r="G941" s="60"/>
      <c r="H941" s="60"/>
      <c r="I941" s="60"/>
      <c r="J941" s="60"/>
      <c r="K941" s="60"/>
      <c r="L941" s="60"/>
      <c r="M941" s="60"/>
      <c r="N941" s="60"/>
      <c r="O941" s="60"/>
      <c r="P941" s="60"/>
      <c r="Q941" s="60"/>
      <c r="R941" s="60"/>
      <c r="S941" s="60"/>
      <c r="T941" s="60"/>
      <c r="U941" s="60"/>
      <c r="V941" s="60"/>
      <c r="W941" s="60"/>
    </row>
    <row r="942" spans="7:23" x14ac:dyDescent="0.25">
      <c r="G942" s="60"/>
      <c r="H942" s="60"/>
      <c r="I942" s="60"/>
      <c r="J942" s="60"/>
      <c r="K942" s="60"/>
      <c r="L942" s="60"/>
      <c r="M942" s="60"/>
      <c r="N942" s="60"/>
      <c r="O942" s="60"/>
      <c r="P942" s="60"/>
      <c r="Q942" s="60"/>
      <c r="R942" s="60"/>
      <c r="S942" s="60"/>
      <c r="T942" s="60"/>
      <c r="U942" s="60"/>
      <c r="V942" s="60"/>
      <c r="W942" s="60"/>
    </row>
    <row r="943" spans="7:23" x14ac:dyDescent="0.25">
      <c r="G943" s="60"/>
      <c r="H943" s="60"/>
      <c r="I943" s="60"/>
      <c r="J943" s="60"/>
      <c r="K943" s="60"/>
      <c r="L943" s="60"/>
      <c r="M943" s="60"/>
      <c r="N943" s="60"/>
      <c r="O943" s="60"/>
      <c r="P943" s="60"/>
      <c r="Q943" s="60"/>
      <c r="R943" s="60"/>
      <c r="S943" s="60"/>
      <c r="T943" s="60"/>
      <c r="U943" s="60"/>
      <c r="V943" s="60"/>
      <c r="W943" s="60"/>
    </row>
    <row r="944" spans="7:23" x14ac:dyDescent="0.25">
      <c r="G944" s="60"/>
      <c r="H944" s="60"/>
      <c r="I944" s="60"/>
      <c r="J944" s="60"/>
      <c r="K944" s="60"/>
      <c r="L944" s="60"/>
      <c r="M944" s="60"/>
      <c r="N944" s="60"/>
      <c r="O944" s="60"/>
      <c r="P944" s="60"/>
      <c r="Q944" s="60"/>
      <c r="R944" s="60"/>
      <c r="S944" s="60"/>
      <c r="T944" s="60"/>
      <c r="U944" s="60"/>
      <c r="V944" s="60"/>
      <c r="W944" s="60"/>
    </row>
    <row r="945" spans="7:23" x14ac:dyDescent="0.25">
      <c r="G945" s="60"/>
      <c r="H945" s="60"/>
      <c r="I945" s="60"/>
      <c r="J945" s="60"/>
      <c r="K945" s="60"/>
      <c r="L945" s="60"/>
      <c r="M945" s="60"/>
      <c r="N945" s="60"/>
      <c r="O945" s="60"/>
      <c r="P945" s="60"/>
      <c r="Q945" s="60"/>
      <c r="R945" s="60"/>
      <c r="S945" s="60"/>
      <c r="T945" s="60"/>
      <c r="U945" s="60"/>
      <c r="V945" s="60"/>
      <c r="W945" s="60"/>
    </row>
    <row r="946" spans="7:23" x14ac:dyDescent="0.25">
      <c r="G946" s="60"/>
      <c r="H946" s="60"/>
      <c r="I946" s="60"/>
      <c r="J946" s="60"/>
      <c r="K946" s="60"/>
      <c r="L946" s="60"/>
      <c r="M946" s="60"/>
      <c r="N946" s="60"/>
      <c r="O946" s="60"/>
      <c r="P946" s="60"/>
      <c r="Q946" s="60"/>
      <c r="R946" s="60"/>
      <c r="S946" s="60"/>
      <c r="T946" s="60"/>
      <c r="U946" s="60"/>
      <c r="V946" s="60"/>
      <c r="W946" s="60"/>
    </row>
    <row r="947" spans="7:23" x14ac:dyDescent="0.25">
      <c r="G947" s="60"/>
      <c r="H947" s="60"/>
      <c r="I947" s="60"/>
      <c r="J947" s="60"/>
      <c r="K947" s="60"/>
      <c r="L947" s="60"/>
      <c r="M947" s="60"/>
      <c r="N947" s="60"/>
      <c r="O947" s="60"/>
      <c r="P947" s="60"/>
      <c r="Q947" s="60"/>
      <c r="R947" s="60"/>
      <c r="S947" s="60"/>
      <c r="T947" s="60"/>
      <c r="U947" s="60"/>
      <c r="V947" s="60"/>
      <c r="W947" s="60"/>
    </row>
    <row r="948" spans="7:23" x14ac:dyDescent="0.25">
      <c r="G948" s="60"/>
      <c r="H948" s="60"/>
      <c r="I948" s="60"/>
      <c r="J948" s="60"/>
      <c r="K948" s="60"/>
      <c r="L948" s="60"/>
      <c r="M948" s="60"/>
      <c r="N948" s="60"/>
      <c r="O948" s="60"/>
      <c r="P948" s="60"/>
      <c r="Q948" s="60"/>
      <c r="R948" s="60"/>
      <c r="S948" s="60"/>
      <c r="T948" s="60"/>
      <c r="U948" s="60"/>
      <c r="V948" s="60"/>
      <c r="W948" s="60"/>
    </row>
    <row r="949" spans="7:23" x14ac:dyDescent="0.25">
      <c r="G949" s="60"/>
      <c r="H949" s="60"/>
      <c r="I949" s="60"/>
      <c r="J949" s="60"/>
      <c r="K949" s="60"/>
      <c r="L949" s="60"/>
      <c r="M949" s="60"/>
      <c r="N949" s="60"/>
      <c r="O949" s="60"/>
      <c r="P949" s="60"/>
      <c r="Q949" s="60"/>
      <c r="R949" s="60"/>
      <c r="S949" s="60"/>
      <c r="T949" s="60"/>
      <c r="U949" s="60"/>
      <c r="V949" s="60"/>
      <c r="W949" s="60"/>
    </row>
    <row r="950" spans="7:23" x14ac:dyDescent="0.25">
      <c r="G950" s="60"/>
      <c r="H950" s="60"/>
      <c r="I950" s="60"/>
      <c r="J950" s="60"/>
      <c r="K950" s="60"/>
      <c r="L950" s="60"/>
      <c r="M950" s="60"/>
      <c r="N950" s="60"/>
      <c r="O950" s="60"/>
      <c r="P950" s="60"/>
      <c r="Q950" s="60"/>
      <c r="R950" s="60"/>
      <c r="S950" s="60"/>
      <c r="T950" s="60"/>
      <c r="U950" s="60"/>
      <c r="V950" s="60"/>
      <c r="W950" s="60"/>
    </row>
    <row r="951" spans="7:23" x14ac:dyDescent="0.25">
      <c r="G951" s="60"/>
      <c r="H951" s="60"/>
      <c r="I951" s="60"/>
      <c r="J951" s="60"/>
      <c r="K951" s="60"/>
      <c r="L951" s="60"/>
      <c r="M951" s="60"/>
      <c r="N951" s="60"/>
      <c r="O951" s="60"/>
      <c r="P951" s="60"/>
      <c r="Q951" s="60"/>
      <c r="R951" s="60"/>
      <c r="S951" s="60"/>
      <c r="T951" s="60"/>
      <c r="U951" s="60"/>
      <c r="V951" s="60"/>
      <c r="W951" s="60"/>
    </row>
    <row r="952" spans="7:23" x14ac:dyDescent="0.25">
      <c r="G952" s="60"/>
      <c r="H952" s="60"/>
      <c r="I952" s="60"/>
      <c r="J952" s="60"/>
      <c r="K952" s="60"/>
      <c r="L952" s="60"/>
      <c r="M952" s="60"/>
      <c r="N952" s="60"/>
      <c r="O952" s="60"/>
      <c r="P952" s="60"/>
      <c r="Q952" s="60"/>
      <c r="R952" s="60"/>
      <c r="S952" s="60"/>
      <c r="T952" s="60"/>
      <c r="U952" s="60"/>
      <c r="V952" s="60"/>
      <c r="W952" s="60"/>
    </row>
    <row r="953" spans="7:23" x14ac:dyDescent="0.25">
      <c r="G953" s="60"/>
      <c r="H953" s="60"/>
      <c r="I953" s="60"/>
      <c r="J953" s="60"/>
      <c r="K953" s="60"/>
      <c r="L953" s="60"/>
      <c r="M953" s="60"/>
      <c r="N953" s="60"/>
      <c r="O953" s="60"/>
      <c r="P953" s="60"/>
      <c r="Q953" s="60"/>
      <c r="R953" s="60"/>
      <c r="S953" s="60"/>
      <c r="T953" s="60"/>
      <c r="U953" s="60"/>
      <c r="V953" s="60"/>
      <c r="W953" s="60"/>
    </row>
    <row r="954" spans="7:23" x14ac:dyDescent="0.25">
      <c r="G954" s="60"/>
      <c r="H954" s="60"/>
      <c r="I954" s="60"/>
      <c r="J954" s="60"/>
      <c r="K954" s="60"/>
      <c r="L954" s="60"/>
      <c r="M954" s="60"/>
      <c r="N954" s="60"/>
      <c r="O954" s="60"/>
      <c r="P954" s="60"/>
      <c r="Q954" s="60"/>
      <c r="R954" s="60"/>
      <c r="S954" s="60"/>
      <c r="T954" s="60"/>
      <c r="U954" s="60"/>
      <c r="V954" s="60"/>
      <c r="W954" s="60"/>
    </row>
    <row r="955" spans="7:23" x14ac:dyDescent="0.25">
      <c r="G955" s="60"/>
      <c r="H955" s="60"/>
      <c r="I955" s="60"/>
      <c r="J955" s="60"/>
      <c r="K955" s="60"/>
      <c r="L955" s="60"/>
      <c r="M955" s="60"/>
      <c r="N955" s="60"/>
      <c r="O955" s="60"/>
      <c r="P955" s="60"/>
      <c r="Q955" s="60"/>
      <c r="R955" s="60"/>
      <c r="S955" s="60"/>
      <c r="T955" s="60"/>
      <c r="U955" s="60"/>
      <c r="V955" s="60"/>
      <c r="W955" s="60"/>
    </row>
    <row r="956" spans="7:23" x14ac:dyDescent="0.25">
      <c r="G956" s="60"/>
      <c r="H956" s="60"/>
      <c r="I956" s="60"/>
      <c r="J956" s="60"/>
      <c r="K956" s="60"/>
      <c r="L956" s="60"/>
      <c r="M956" s="60"/>
      <c r="N956" s="60"/>
      <c r="O956" s="60"/>
      <c r="P956" s="60"/>
      <c r="Q956" s="60"/>
      <c r="R956" s="60"/>
      <c r="S956" s="60"/>
      <c r="T956" s="60"/>
      <c r="U956" s="60"/>
      <c r="V956" s="60"/>
      <c r="W956" s="60"/>
    </row>
    <row r="957" spans="7:23" x14ac:dyDescent="0.25">
      <c r="G957" s="60"/>
      <c r="H957" s="60"/>
      <c r="I957" s="60"/>
      <c r="J957" s="60"/>
      <c r="K957" s="60"/>
      <c r="L957" s="60"/>
      <c r="M957" s="60"/>
      <c r="N957" s="60"/>
      <c r="O957" s="60"/>
      <c r="P957" s="60"/>
      <c r="Q957" s="60"/>
      <c r="R957" s="60"/>
      <c r="S957" s="60"/>
      <c r="T957" s="60"/>
      <c r="U957" s="60"/>
      <c r="V957" s="60"/>
      <c r="W957" s="60"/>
    </row>
    <row r="958" spans="7:23" x14ac:dyDescent="0.25">
      <c r="G958" s="60"/>
      <c r="H958" s="60"/>
      <c r="I958" s="60"/>
      <c r="J958" s="60"/>
      <c r="K958" s="60"/>
      <c r="L958" s="60"/>
      <c r="M958" s="60"/>
      <c r="N958" s="60"/>
      <c r="O958" s="60"/>
      <c r="P958" s="60"/>
      <c r="Q958" s="60"/>
      <c r="R958" s="60"/>
      <c r="S958" s="60"/>
      <c r="T958" s="60"/>
      <c r="U958" s="60"/>
      <c r="V958" s="60"/>
      <c r="W958" s="60"/>
    </row>
    <row r="959" spans="7:23" x14ac:dyDescent="0.25">
      <c r="G959" s="60"/>
      <c r="H959" s="60"/>
      <c r="I959" s="60"/>
      <c r="J959" s="60"/>
      <c r="K959" s="60"/>
      <c r="L959" s="60"/>
      <c r="M959" s="60"/>
      <c r="N959" s="60"/>
      <c r="O959" s="60"/>
      <c r="P959" s="60"/>
      <c r="Q959" s="60"/>
      <c r="R959" s="60"/>
      <c r="S959" s="60"/>
      <c r="T959" s="60"/>
      <c r="U959" s="60"/>
      <c r="V959" s="60"/>
      <c r="W959" s="60"/>
    </row>
    <row r="960" spans="7:23" x14ac:dyDescent="0.25">
      <c r="G960" s="60"/>
      <c r="H960" s="60"/>
      <c r="I960" s="60"/>
      <c r="J960" s="60"/>
      <c r="K960" s="60"/>
      <c r="L960" s="60"/>
      <c r="M960" s="60"/>
      <c r="N960" s="60"/>
      <c r="O960" s="60"/>
      <c r="P960" s="60"/>
      <c r="Q960" s="60"/>
      <c r="R960" s="60"/>
      <c r="S960" s="60"/>
      <c r="T960" s="60"/>
      <c r="U960" s="60"/>
      <c r="V960" s="60"/>
      <c r="W960" s="60"/>
    </row>
    <row r="961" spans="7:23" x14ac:dyDescent="0.25">
      <c r="G961" s="60"/>
      <c r="H961" s="60"/>
      <c r="I961" s="60"/>
      <c r="J961" s="60"/>
      <c r="K961" s="60"/>
      <c r="L961" s="60"/>
      <c r="M961" s="60"/>
      <c r="N961" s="60"/>
      <c r="O961" s="60"/>
      <c r="P961" s="60"/>
      <c r="Q961" s="60"/>
      <c r="R961" s="60"/>
      <c r="S961" s="60"/>
      <c r="T961" s="60"/>
      <c r="U961" s="60"/>
      <c r="V961" s="60"/>
      <c r="W961" s="60"/>
    </row>
    <row r="962" spans="7:23" x14ac:dyDescent="0.25">
      <c r="G962" s="60"/>
      <c r="H962" s="60"/>
      <c r="I962" s="60"/>
      <c r="J962" s="60"/>
      <c r="K962" s="60"/>
      <c r="L962" s="60"/>
      <c r="M962" s="60"/>
      <c r="N962" s="60"/>
      <c r="O962" s="60"/>
      <c r="P962" s="60"/>
      <c r="Q962" s="60"/>
      <c r="R962" s="60"/>
      <c r="S962" s="60"/>
      <c r="T962" s="60"/>
      <c r="U962" s="60"/>
      <c r="V962" s="60"/>
      <c r="W962" s="60"/>
    </row>
    <row r="963" spans="7:23" x14ac:dyDescent="0.25">
      <c r="G963" s="60"/>
      <c r="H963" s="60"/>
      <c r="I963" s="60"/>
      <c r="J963" s="60"/>
      <c r="K963" s="60"/>
      <c r="L963" s="60"/>
      <c r="M963" s="60"/>
      <c r="N963" s="60"/>
      <c r="O963" s="60"/>
      <c r="P963" s="60"/>
      <c r="Q963" s="60"/>
      <c r="R963" s="60"/>
      <c r="S963" s="60"/>
      <c r="T963" s="60"/>
      <c r="U963" s="60"/>
      <c r="V963" s="60"/>
      <c r="W963" s="60"/>
    </row>
    <row r="964" spans="7:23" x14ac:dyDescent="0.25">
      <c r="G964" s="60"/>
      <c r="H964" s="60"/>
      <c r="I964" s="60"/>
      <c r="J964" s="60"/>
      <c r="K964" s="60"/>
      <c r="L964" s="60"/>
      <c r="M964" s="60"/>
      <c r="N964" s="60"/>
      <c r="O964" s="60"/>
      <c r="P964" s="60"/>
      <c r="Q964" s="60"/>
      <c r="R964" s="60"/>
      <c r="S964" s="60"/>
      <c r="T964" s="60"/>
      <c r="U964" s="60"/>
      <c r="V964" s="60"/>
      <c r="W964" s="60"/>
    </row>
    <row r="965" spans="7:23" x14ac:dyDescent="0.25">
      <c r="G965" s="60"/>
      <c r="H965" s="60"/>
      <c r="I965" s="60"/>
      <c r="J965" s="60"/>
      <c r="K965" s="60"/>
      <c r="L965" s="60"/>
      <c r="M965" s="60"/>
      <c r="N965" s="60"/>
      <c r="O965" s="60"/>
      <c r="P965" s="60"/>
      <c r="Q965" s="60"/>
      <c r="R965" s="60"/>
      <c r="S965" s="60"/>
      <c r="T965" s="60"/>
      <c r="U965" s="60"/>
      <c r="V965" s="60"/>
      <c r="W965" s="60"/>
    </row>
    <row r="966" spans="7:23" x14ac:dyDescent="0.25">
      <c r="G966" s="60"/>
      <c r="H966" s="60"/>
      <c r="I966" s="60"/>
      <c r="J966" s="60"/>
      <c r="K966" s="60"/>
      <c r="L966" s="60"/>
      <c r="M966" s="60"/>
      <c r="N966" s="60"/>
      <c r="O966" s="60"/>
      <c r="P966" s="60"/>
      <c r="Q966" s="60"/>
      <c r="R966" s="60"/>
      <c r="S966" s="60"/>
      <c r="T966" s="60"/>
      <c r="U966" s="60"/>
      <c r="V966" s="60"/>
      <c r="W966" s="60"/>
    </row>
    <row r="967" spans="7:23" x14ac:dyDescent="0.25">
      <c r="G967" s="60"/>
      <c r="H967" s="60"/>
      <c r="I967" s="60"/>
      <c r="J967" s="60"/>
      <c r="K967" s="60"/>
      <c r="L967" s="60"/>
      <c r="M967" s="60"/>
      <c r="N967" s="60"/>
      <c r="O967" s="60"/>
      <c r="P967" s="60"/>
      <c r="Q967" s="60"/>
      <c r="R967" s="60"/>
      <c r="S967" s="60"/>
      <c r="T967" s="60"/>
      <c r="U967" s="60"/>
      <c r="V967" s="60"/>
      <c r="W967" s="60"/>
    </row>
    <row r="968" spans="7:23" x14ac:dyDescent="0.25">
      <c r="G968" s="60"/>
      <c r="H968" s="60"/>
      <c r="I968" s="60"/>
      <c r="J968" s="60"/>
      <c r="K968" s="60"/>
      <c r="L968" s="60"/>
      <c r="M968" s="60"/>
      <c r="N968" s="60"/>
      <c r="O968" s="60"/>
      <c r="P968" s="60"/>
      <c r="Q968" s="60"/>
      <c r="R968" s="60"/>
      <c r="S968" s="60"/>
      <c r="T968" s="60"/>
      <c r="U968" s="60"/>
      <c r="V968" s="60"/>
      <c r="W968" s="60"/>
    </row>
    <row r="969" spans="7:23" x14ac:dyDescent="0.25">
      <c r="G969" s="60"/>
      <c r="H969" s="60"/>
      <c r="I969" s="60"/>
      <c r="J969" s="60"/>
      <c r="K969" s="60"/>
      <c r="L969" s="60"/>
      <c r="M969" s="60"/>
      <c r="N969" s="60"/>
      <c r="O969" s="60"/>
      <c r="P969" s="60"/>
      <c r="Q969" s="60"/>
      <c r="R969" s="60"/>
      <c r="S969" s="60"/>
      <c r="T969" s="60"/>
      <c r="U969" s="60"/>
      <c r="V969" s="60"/>
      <c r="W969" s="60"/>
    </row>
    <row r="970" spans="7:23" x14ac:dyDescent="0.25">
      <c r="G970" s="60"/>
      <c r="H970" s="60"/>
      <c r="I970" s="60"/>
      <c r="J970" s="60"/>
      <c r="K970" s="60"/>
      <c r="L970" s="60"/>
      <c r="M970" s="60"/>
      <c r="N970" s="60"/>
      <c r="O970" s="60"/>
      <c r="P970" s="60"/>
      <c r="Q970" s="60"/>
      <c r="R970" s="60"/>
      <c r="S970" s="60"/>
      <c r="T970" s="60"/>
      <c r="U970" s="60"/>
      <c r="V970" s="60"/>
      <c r="W970" s="60"/>
    </row>
    <row r="971" spans="7:23" x14ac:dyDescent="0.25">
      <c r="G971" s="60"/>
      <c r="H971" s="60"/>
      <c r="I971" s="60"/>
      <c r="J971" s="60"/>
      <c r="K971" s="60"/>
      <c r="L971" s="60"/>
      <c r="M971" s="60"/>
      <c r="N971" s="60"/>
      <c r="O971" s="60"/>
      <c r="P971" s="60"/>
      <c r="Q971" s="60"/>
      <c r="R971" s="60"/>
      <c r="S971" s="60"/>
      <c r="T971" s="60"/>
      <c r="U971" s="60"/>
      <c r="V971" s="60"/>
      <c r="W971" s="60"/>
    </row>
    <row r="972" spans="7:23" x14ac:dyDescent="0.25">
      <c r="G972" s="60"/>
      <c r="H972" s="60"/>
      <c r="I972" s="60"/>
      <c r="J972" s="60"/>
      <c r="K972" s="60"/>
      <c r="L972" s="60"/>
      <c r="M972" s="60"/>
      <c r="N972" s="60"/>
      <c r="O972" s="60"/>
      <c r="P972" s="60"/>
      <c r="Q972" s="60"/>
      <c r="R972" s="60"/>
      <c r="S972" s="60"/>
      <c r="T972" s="60"/>
      <c r="U972" s="60"/>
      <c r="V972" s="60"/>
      <c r="W972" s="60"/>
    </row>
    <row r="973" spans="7:23" x14ac:dyDescent="0.25">
      <c r="G973" s="60"/>
      <c r="H973" s="60"/>
      <c r="I973" s="60"/>
      <c r="J973" s="60"/>
      <c r="K973" s="60"/>
      <c r="L973" s="60"/>
      <c r="M973" s="60"/>
      <c r="N973" s="60"/>
      <c r="O973" s="60"/>
      <c r="P973" s="60"/>
      <c r="Q973" s="60"/>
      <c r="R973" s="60"/>
      <c r="S973" s="60"/>
      <c r="T973" s="60"/>
      <c r="U973" s="60"/>
      <c r="V973" s="60"/>
      <c r="W973" s="60"/>
    </row>
    <row r="974" spans="7:23" x14ac:dyDescent="0.25">
      <c r="G974" s="60"/>
      <c r="H974" s="60"/>
      <c r="I974" s="60"/>
      <c r="J974" s="60"/>
      <c r="K974" s="60"/>
      <c r="L974" s="60"/>
      <c r="M974" s="60"/>
      <c r="N974" s="60"/>
      <c r="O974" s="60"/>
      <c r="P974" s="60"/>
      <c r="Q974" s="60"/>
      <c r="R974" s="60"/>
      <c r="S974" s="60"/>
      <c r="T974" s="60"/>
      <c r="U974" s="60"/>
      <c r="V974" s="60"/>
      <c r="W974" s="60"/>
    </row>
    <row r="975" spans="7:23" x14ac:dyDescent="0.25">
      <c r="G975" s="60"/>
      <c r="H975" s="60"/>
      <c r="I975" s="60"/>
      <c r="J975" s="60"/>
      <c r="K975" s="60"/>
      <c r="L975" s="60"/>
      <c r="M975" s="60"/>
      <c r="N975" s="60"/>
      <c r="O975" s="60"/>
      <c r="P975" s="60"/>
      <c r="Q975" s="60"/>
      <c r="R975" s="60"/>
      <c r="S975" s="60"/>
      <c r="T975" s="60"/>
      <c r="U975" s="60"/>
      <c r="V975" s="60"/>
      <c r="W975" s="60"/>
    </row>
    <row r="976" spans="7:23" x14ac:dyDescent="0.25">
      <c r="G976" s="60"/>
      <c r="H976" s="60"/>
      <c r="I976" s="60"/>
      <c r="J976" s="60"/>
      <c r="K976" s="60"/>
      <c r="L976" s="60"/>
      <c r="M976" s="60"/>
      <c r="N976" s="60"/>
      <c r="O976" s="60"/>
      <c r="P976" s="60"/>
      <c r="Q976" s="60"/>
      <c r="R976" s="60"/>
      <c r="S976" s="60"/>
      <c r="T976" s="60"/>
      <c r="U976" s="60"/>
      <c r="V976" s="60"/>
      <c r="W976" s="60"/>
    </row>
    <row r="977" spans="7:23" x14ac:dyDescent="0.25">
      <c r="G977" s="60"/>
      <c r="H977" s="60"/>
      <c r="I977" s="60"/>
      <c r="J977" s="60"/>
      <c r="K977" s="60"/>
      <c r="L977" s="60"/>
      <c r="M977" s="60"/>
      <c r="N977" s="60"/>
      <c r="O977" s="60"/>
      <c r="P977" s="60"/>
      <c r="Q977" s="60"/>
      <c r="R977" s="60"/>
      <c r="S977" s="60"/>
      <c r="T977" s="60"/>
      <c r="U977" s="60"/>
      <c r="V977" s="60"/>
      <c r="W977" s="60"/>
    </row>
    <row r="978" spans="7:23" x14ac:dyDescent="0.25">
      <c r="G978" s="60"/>
      <c r="H978" s="60"/>
      <c r="I978" s="60"/>
      <c r="J978" s="60"/>
      <c r="K978" s="60"/>
      <c r="L978" s="60"/>
      <c r="M978" s="60"/>
      <c r="N978" s="60"/>
      <c r="O978" s="60"/>
      <c r="P978" s="60"/>
      <c r="Q978" s="60"/>
      <c r="R978" s="60"/>
      <c r="S978" s="60"/>
      <c r="T978" s="60"/>
      <c r="U978" s="60"/>
      <c r="V978" s="60"/>
      <c r="W978" s="60"/>
    </row>
    <row r="979" spans="7:23" x14ac:dyDescent="0.25">
      <c r="G979" s="60"/>
      <c r="H979" s="60"/>
      <c r="I979" s="60"/>
      <c r="J979" s="60"/>
      <c r="K979" s="60"/>
      <c r="L979" s="60"/>
      <c r="M979" s="60"/>
      <c r="N979" s="60"/>
      <c r="O979" s="60"/>
      <c r="P979" s="60"/>
      <c r="Q979" s="60"/>
      <c r="R979" s="60"/>
      <c r="S979" s="60"/>
      <c r="T979" s="60"/>
      <c r="U979" s="60"/>
      <c r="V979" s="60"/>
      <c r="W979" s="60"/>
    </row>
    <row r="980" spans="7:23" x14ac:dyDescent="0.25">
      <c r="G980" s="60"/>
      <c r="H980" s="60"/>
      <c r="I980" s="60"/>
      <c r="J980" s="60"/>
      <c r="K980" s="60"/>
      <c r="L980" s="60"/>
      <c r="M980" s="60"/>
      <c r="N980" s="60"/>
      <c r="O980" s="60"/>
      <c r="P980" s="60"/>
      <c r="Q980" s="60"/>
      <c r="R980" s="60"/>
      <c r="S980" s="60"/>
      <c r="T980" s="60"/>
      <c r="U980" s="60"/>
      <c r="V980" s="60"/>
      <c r="W980" s="60"/>
    </row>
    <row r="981" spans="7:23" x14ac:dyDescent="0.25">
      <c r="G981" s="60"/>
      <c r="H981" s="60"/>
      <c r="I981" s="60"/>
      <c r="J981" s="60"/>
      <c r="K981" s="60"/>
      <c r="L981" s="60"/>
      <c r="M981" s="60"/>
      <c r="N981" s="60"/>
      <c r="O981" s="60"/>
      <c r="P981" s="60"/>
      <c r="Q981" s="60"/>
      <c r="R981" s="60"/>
      <c r="S981" s="60"/>
      <c r="T981" s="60"/>
      <c r="U981" s="60"/>
      <c r="V981" s="60"/>
      <c r="W981" s="60"/>
    </row>
    <row r="982" spans="7:23" x14ac:dyDescent="0.25">
      <c r="G982" s="60"/>
      <c r="H982" s="60"/>
      <c r="I982" s="60"/>
      <c r="J982" s="60"/>
      <c r="K982" s="60"/>
      <c r="L982" s="60"/>
      <c r="M982" s="60"/>
      <c r="N982" s="60"/>
      <c r="O982" s="60"/>
      <c r="P982" s="60"/>
      <c r="Q982" s="60"/>
      <c r="R982" s="60"/>
      <c r="S982" s="60"/>
      <c r="T982" s="60"/>
      <c r="U982" s="60"/>
      <c r="V982" s="60"/>
      <c r="W982" s="60"/>
    </row>
    <row r="983" spans="7:23" x14ac:dyDescent="0.25">
      <c r="G983" s="60"/>
      <c r="H983" s="60"/>
      <c r="I983" s="60"/>
      <c r="J983" s="60"/>
      <c r="K983" s="60"/>
      <c r="L983" s="60"/>
      <c r="M983" s="60"/>
      <c r="N983" s="60"/>
      <c r="O983" s="60"/>
      <c r="P983" s="60"/>
      <c r="Q983" s="60"/>
      <c r="R983" s="60"/>
      <c r="S983" s="60"/>
      <c r="T983" s="60"/>
      <c r="U983" s="60"/>
      <c r="V983" s="60"/>
      <c r="W983" s="60"/>
    </row>
    <row r="984" spans="7:23" x14ac:dyDescent="0.25">
      <c r="G984" s="60"/>
      <c r="H984" s="60"/>
      <c r="I984" s="60"/>
      <c r="J984" s="60"/>
      <c r="K984" s="60"/>
      <c r="L984" s="60"/>
      <c r="M984" s="60"/>
      <c r="N984" s="60"/>
      <c r="O984" s="60"/>
      <c r="P984" s="60"/>
      <c r="Q984" s="60"/>
      <c r="R984" s="60"/>
      <c r="S984" s="60"/>
      <c r="T984" s="60"/>
      <c r="U984" s="60"/>
      <c r="V984" s="60"/>
      <c r="W984" s="60"/>
    </row>
    <row r="985" spans="7:23" x14ac:dyDescent="0.25">
      <c r="G985" s="60"/>
      <c r="H985" s="60"/>
      <c r="I985" s="60"/>
      <c r="J985" s="60"/>
      <c r="K985" s="60"/>
      <c r="L985" s="60"/>
      <c r="M985" s="60"/>
      <c r="N985" s="60"/>
      <c r="O985" s="60"/>
      <c r="P985" s="60"/>
      <c r="Q985" s="60"/>
      <c r="R985" s="60"/>
      <c r="S985" s="60"/>
      <c r="T985" s="60"/>
      <c r="U985" s="60"/>
      <c r="V985" s="60"/>
      <c r="W985" s="60"/>
    </row>
    <row r="986" spans="7:23" x14ac:dyDescent="0.25">
      <c r="G986" s="60"/>
      <c r="H986" s="60"/>
      <c r="I986" s="60"/>
      <c r="J986" s="60"/>
      <c r="K986" s="60"/>
      <c r="L986" s="60"/>
      <c r="M986" s="60"/>
      <c r="N986" s="60"/>
      <c r="O986" s="60"/>
      <c r="P986" s="60"/>
      <c r="Q986" s="60"/>
      <c r="R986" s="60"/>
      <c r="S986" s="60"/>
      <c r="T986" s="60"/>
      <c r="U986" s="60"/>
      <c r="V986" s="60"/>
      <c r="W986" s="60"/>
    </row>
    <row r="987" spans="7:23" x14ac:dyDescent="0.25">
      <c r="G987" s="60"/>
      <c r="H987" s="60"/>
      <c r="I987" s="60"/>
      <c r="J987" s="60"/>
      <c r="K987" s="60"/>
      <c r="L987" s="60"/>
      <c r="M987" s="60"/>
      <c r="N987" s="60"/>
      <c r="O987" s="60"/>
      <c r="P987" s="60"/>
      <c r="Q987" s="60"/>
      <c r="R987" s="60"/>
      <c r="S987" s="60"/>
      <c r="T987" s="60"/>
      <c r="U987" s="60"/>
      <c r="V987" s="60"/>
      <c r="W987" s="60"/>
    </row>
    <row r="988" spans="7:23" x14ac:dyDescent="0.25">
      <c r="G988" s="60"/>
      <c r="H988" s="60"/>
      <c r="I988" s="60"/>
      <c r="J988" s="60"/>
      <c r="K988" s="60"/>
      <c r="L988" s="60"/>
      <c r="M988" s="60"/>
      <c r="N988" s="60"/>
      <c r="O988" s="60"/>
      <c r="P988" s="60"/>
      <c r="Q988" s="60"/>
      <c r="R988" s="60"/>
      <c r="S988" s="60"/>
      <c r="T988" s="60"/>
      <c r="U988" s="60"/>
      <c r="V988" s="60"/>
      <c r="W988" s="60"/>
    </row>
    <row r="989" spans="7:23" x14ac:dyDescent="0.25">
      <c r="G989" s="60"/>
      <c r="H989" s="60"/>
      <c r="I989" s="60"/>
      <c r="J989" s="60"/>
      <c r="K989" s="60"/>
      <c r="L989" s="60"/>
      <c r="M989" s="60"/>
      <c r="N989" s="60"/>
      <c r="O989" s="60"/>
      <c r="P989" s="60"/>
      <c r="Q989" s="60"/>
      <c r="R989" s="60"/>
      <c r="S989" s="60"/>
      <c r="T989" s="60"/>
      <c r="U989" s="60"/>
      <c r="V989" s="60"/>
      <c r="W989" s="60"/>
    </row>
    <row r="990" spans="7:23" x14ac:dyDescent="0.25">
      <c r="G990" s="60"/>
      <c r="H990" s="60"/>
      <c r="I990" s="60"/>
      <c r="J990" s="60"/>
      <c r="K990" s="60"/>
      <c r="L990" s="60"/>
      <c r="M990" s="60"/>
      <c r="N990" s="60"/>
      <c r="O990" s="60"/>
      <c r="P990" s="60"/>
      <c r="Q990" s="60"/>
      <c r="R990" s="60"/>
      <c r="S990" s="60"/>
      <c r="T990" s="60"/>
      <c r="U990" s="60"/>
      <c r="V990" s="60"/>
      <c r="W990" s="60"/>
    </row>
    <row r="991" spans="7:23" x14ac:dyDescent="0.25">
      <c r="G991" s="60"/>
      <c r="H991" s="60"/>
      <c r="I991" s="60"/>
      <c r="J991" s="60"/>
      <c r="K991" s="60"/>
      <c r="L991" s="60"/>
      <c r="M991" s="60"/>
      <c r="N991" s="60"/>
      <c r="O991" s="60"/>
      <c r="P991" s="60"/>
      <c r="Q991" s="60"/>
      <c r="R991" s="60"/>
      <c r="S991" s="60"/>
      <c r="T991" s="60"/>
      <c r="U991" s="60"/>
      <c r="V991" s="60"/>
      <c r="W991" s="60"/>
    </row>
    <row r="992" spans="7:23" x14ac:dyDescent="0.25">
      <c r="G992" s="60"/>
      <c r="H992" s="60"/>
      <c r="I992" s="60"/>
      <c r="J992" s="60"/>
      <c r="K992" s="60"/>
      <c r="L992" s="60"/>
      <c r="M992" s="60"/>
      <c r="N992" s="60"/>
      <c r="O992" s="60"/>
      <c r="P992" s="60"/>
      <c r="Q992" s="60"/>
      <c r="R992" s="60"/>
      <c r="S992" s="60"/>
      <c r="T992" s="60"/>
      <c r="U992" s="60"/>
      <c r="V992" s="60"/>
      <c r="W992" s="60"/>
    </row>
    <row r="993" spans="7:23" x14ac:dyDescent="0.25">
      <c r="G993" s="60"/>
      <c r="H993" s="60"/>
      <c r="I993" s="60"/>
      <c r="J993" s="60"/>
      <c r="K993" s="60"/>
      <c r="L993" s="60"/>
      <c r="M993" s="60"/>
      <c r="N993" s="60"/>
      <c r="O993" s="60"/>
      <c r="P993" s="60"/>
      <c r="Q993" s="60"/>
      <c r="R993" s="60"/>
      <c r="S993" s="60"/>
      <c r="T993" s="60"/>
      <c r="U993" s="60"/>
      <c r="V993" s="60"/>
      <c r="W993" s="60"/>
    </row>
    <row r="994" spans="7:23" x14ac:dyDescent="0.25">
      <c r="G994" s="60"/>
      <c r="H994" s="60"/>
      <c r="I994" s="60"/>
      <c r="J994" s="60"/>
      <c r="K994" s="60"/>
      <c r="L994" s="60"/>
      <c r="M994" s="60"/>
      <c r="N994" s="60"/>
      <c r="O994" s="60"/>
      <c r="P994" s="60"/>
      <c r="Q994" s="60"/>
      <c r="R994" s="60"/>
      <c r="S994" s="60"/>
      <c r="T994" s="60"/>
      <c r="U994" s="60"/>
      <c r="V994" s="60"/>
      <c r="W994" s="60"/>
    </row>
    <row r="995" spans="7:23" x14ac:dyDescent="0.25">
      <c r="G995" s="60"/>
      <c r="H995" s="60"/>
      <c r="I995" s="60"/>
      <c r="J995" s="60"/>
      <c r="K995" s="60"/>
      <c r="L995" s="60"/>
      <c r="M995" s="60"/>
      <c r="N995" s="60"/>
      <c r="O995" s="60"/>
      <c r="P995" s="60"/>
      <c r="Q995" s="60"/>
      <c r="R995" s="60"/>
      <c r="S995" s="60"/>
      <c r="T995" s="60"/>
      <c r="U995" s="60"/>
      <c r="V995" s="60"/>
      <c r="W995" s="60"/>
    </row>
    <row r="996" spans="7:23" x14ac:dyDescent="0.25">
      <c r="G996" s="60"/>
      <c r="H996" s="60"/>
      <c r="I996" s="60"/>
      <c r="J996" s="60"/>
      <c r="K996" s="60"/>
      <c r="L996" s="60"/>
      <c r="M996" s="60"/>
      <c r="N996" s="60"/>
      <c r="O996" s="60"/>
      <c r="P996" s="60"/>
      <c r="Q996" s="60"/>
      <c r="R996" s="60"/>
      <c r="S996" s="60"/>
      <c r="T996" s="60"/>
      <c r="U996" s="60"/>
      <c r="V996" s="60"/>
      <c r="W996" s="60"/>
    </row>
    <row r="997" spans="7:23" x14ac:dyDescent="0.25">
      <c r="G997" s="60"/>
      <c r="H997" s="60"/>
      <c r="I997" s="60"/>
      <c r="J997" s="60"/>
      <c r="K997" s="60"/>
      <c r="L997" s="60"/>
      <c r="M997" s="60"/>
      <c r="N997" s="60"/>
      <c r="O997" s="60"/>
      <c r="P997" s="60"/>
      <c r="Q997" s="60"/>
      <c r="R997" s="60"/>
      <c r="S997" s="60"/>
      <c r="T997" s="60"/>
      <c r="U997" s="60"/>
      <c r="V997" s="60"/>
      <c r="W997" s="60"/>
    </row>
    <row r="998" spans="7:23" x14ac:dyDescent="0.25">
      <c r="G998" s="60"/>
      <c r="H998" s="60"/>
      <c r="I998" s="60"/>
      <c r="J998" s="60"/>
      <c r="K998" s="60"/>
      <c r="L998" s="60"/>
      <c r="M998" s="60"/>
      <c r="N998" s="60"/>
      <c r="O998" s="60"/>
      <c r="P998" s="60"/>
      <c r="Q998" s="60"/>
      <c r="R998" s="60"/>
      <c r="S998" s="60"/>
      <c r="T998" s="60"/>
      <c r="U998" s="60"/>
      <c r="V998" s="60"/>
      <c r="W998" s="60"/>
    </row>
    <row r="999" spans="7:23" x14ac:dyDescent="0.25">
      <c r="G999" s="60"/>
      <c r="H999" s="60"/>
      <c r="I999" s="60"/>
      <c r="J999" s="60"/>
      <c r="K999" s="60"/>
      <c r="L999" s="60"/>
      <c r="M999" s="60"/>
      <c r="N999" s="60"/>
      <c r="O999" s="60"/>
      <c r="P999" s="60"/>
      <c r="Q999" s="60"/>
      <c r="R999" s="60"/>
      <c r="S999" s="60"/>
      <c r="T999" s="60"/>
      <c r="U999" s="60"/>
      <c r="V999" s="60"/>
      <c r="W999" s="60"/>
    </row>
    <row r="1000" spans="7:23" x14ac:dyDescent="0.25">
      <c r="G1000" s="60"/>
      <c r="H1000" s="60"/>
      <c r="I1000" s="60"/>
      <c r="J1000" s="60"/>
      <c r="K1000" s="60"/>
      <c r="L1000" s="60"/>
      <c r="M1000" s="60"/>
      <c r="N1000" s="60"/>
      <c r="O1000" s="60"/>
      <c r="P1000" s="60"/>
      <c r="Q1000" s="60"/>
      <c r="R1000" s="60"/>
      <c r="S1000" s="60"/>
      <c r="T1000" s="60"/>
      <c r="U1000" s="60"/>
      <c r="V1000" s="60"/>
      <c r="W1000" s="60"/>
    </row>
    <row r="1001" spans="7:23" x14ac:dyDescent="0.25">
      <c r="G1001" s="60"/>
      <c r="H1001" s="60"/>
      <c r="I1001" s="60"/>
      <c r="J1001" s="60"/>
      <c r="K1001" s="60"/>
      <c r="L1001" s="60"/>
      <c r="M1001" s="60"/>
      <c r="N1001" s="60"/>
      <c r="O1001" s="60"/>
      <c r="P1001" s="60"/>
      <c r="Q1001" s="60"/>
      <c r="R1001" s="60"/>
      <c r="S1001" s="60"/>
      <c r="T1001" s="60"/>
      <c r="U1001" s="60"/>
      <c r="V1001" s="60"/>
      <c r="W1001" s="60"/>
    </row>
    <row r="1002" spans="7:23" x14ac:dyDescent="0.25">
      <c r="G1002" s="60"/>
      <c r="H1002" s="60"/>
      <c r="I1002" s="60"/>
      <c r="J1002" s="60"/>
      <c r="K1002" s="60"/>
      <c r="L1002" s="60"/>
      <c r="M1002" s="60"/>
      <c r="N1002" s="60"/>
      <c r="O1002" s="60"/>
      <c r="P1002" s="60"/>
      <c r="Q1002" s="60"/>
      <c r="R1002" s="60"/>
      <c r="S1002" s="60"/>
      <c r="T1002" s="60"/>
      <c r="U1002" s="60"/>
      <c r="V1002" s="60"/>
      <c r="W1002" s="60"/>
    </row>
    <row r="1003" spans="7:23" x14ac:dyDescent="0.25">
      <c r="G1003" s="60"/>
      <c r="H1003" s="60"/>
      <c r="I1003" s="60"/>
      <c r="J1003" s="60"/>
      <c r="K1003" s="60"/>
      <c r="L1003" s="60"/>
      <c r="M1003" s="60"/>
      <c r="N1003" s="60"/>
      <c r="O1003" s="60"/>
      <c r="P1003" s="60"/>
      <c r="Q1003" s="60"/>
      <c r="R1003" s="60"/>
      <c r="S1003" s="60"/>
      <c r="T1003" s="60"/>
      <c r="U1003" s="60"/>
      <c r="V1003" s="60"/>
      <c r="W1003" s="60"/>
    </row>
    <row r="1004" spans="7:23" x14ac:dyDescent="0.25">
      <c r="G1004" s="60"/>
      <c r="H1004" s="60"/>
      <c r="I1004" s="60"/>
      <c r="J1004" s="60"/>
      <c r="K1004" s="60"/>
      <c r="L1004" s="60"/>
      <c r="M1004" s="60"/>
      <c r="N1004" s="60"/>
      <c r="O1004" s="60"/>
      <c r="P1004" s="60"/>
      <c r="Q1004" s="60"/>
      <c r="R1004" s="60"/>
      <c r="S1004" s="60"/>
      <c r="T1004" s="60"/>
      <c r="U1004" s="60"/>
      <c r="V1004" s="60"/>
      <c r="W1004" s="60"/>
    </row>
    <row r="1005" spans="7:23" x14ac:dyDescent="0.25">
      <c r="G1005" s="60"/>
      <c r="H1005" s="60"/>
      <c r="I1005" s="60"/>
      <c r="J1005" s="60"/>
      <c r="K1005" s="60"/>
      <c r="L1005" s="60"/>
      <c r="M1005" s="60"/>
      <c r="N1005" s="60"/>
      <c r="O1005" s="60"/>
      <c r="P1005" s="60"/>
      <c r="Q1005" s="60"/>
      <c r="R1005" s="60"/>
      <c r="S1005" s="60"/>
      <c r="T1005" s="60"/>
      <c r="U1005" s="60"/>
      <c r="V1005" s="60"/>
      <c r="W1005" s="60"/>
    </row>
    <row r="1006" spans="7:23" x14ac:dyDescent="0.25">
      <c r="G1006" s="60"/>
      <c r="H1006" s="60"/>
      <c r="I1006" s="60"/>
      <c r="J1006" s="60"/>
      <c r="K1006" s="60"/>
      <c r="L1006" s="60"/>
      <c r="M1006" s="60"/>
      <c r="N1006" s="60"/>
      <c r="O1006" s="60"/>
      <c r="P1006" s="60"/>
      <c r="Q1006" s="60"/>
      <c r="R1006" s="60"/>
      <c r="S1006" s="60"/>
      <c r="T1006" s="60"/>
      <c r="U1006" s="60"/>
      <c r="V1006" s="60"/>
      <c r="W1006" s="60"/>
    </row>
    <row r="1007" spans="7:23" x14ac:dyDescent="0.25">
      <c r="G1007" s="60"/>
      <c r="H1007" s="60"/>
      <c r="I1007" s="60"/>
      <c r="J1007" s="60"/>
      <c r="K1007" s="60"/>
      <c r="L1007" s="60"/>
      <c r="M1007" s="60"/>
      <c r="N1007" s="60"/>
      <c r="O1007" s="60"/>
      <c r="P1007" s="60"/>
      <c r="Q1007" s="60"/>
      <c r="R1007" s="60"/>
      <c r="S1007" s="60"/>
      <c r="T1007" s="60"/>
      <c r="U1007" s="60"/>
      <c r="V1007" s="60"/>
      <c r="W1007" s="60"/>
    </row>
    <row r="1008" spans="7:23" x14ac:dyDescent="0.25">
      <c r="G1008" s="60"/>
      <c r="H1008" s="60"/>
      <c r="I1008" s="60"/>
      <c r="J1008" s="60"/>
      <c r="K1008" s="60"/>
      <c r="L1008" s="60"/>
      <c r="M1008" s="60"/>
      <c r="N1008" s="60"/>
      <c r="O1008" s="60"/>
      <c r="P1008" s="60"/>
      <c r="Q1008" s="60"/>
      <c r="R1008" s="60"/>
      <c r="S1008" s="60"/>
      <c r="T1008" s="60"/>
      <c r="U1008" s="60"/>
      <c r="V1008" s="60"/>
      <c r="W1008" s="60"/>
    </row>
    <row r="1009" spans="7:23" x14ac:dyDescent="0.25">
      <c r="G1009" s="60"/>
      <c r="H1009" s="60"/>
      <c r="I1009" s="60"/>
      <c r="J1009" s="60"/>
      <c r="K1009" s="60"/>
      <c r="L1009" s="60"/>
      <c r="M1009" s="60"/>
      <c r="N1009" s="60"/>
      <c r="O1009" s="60"/>
      <c r="P1009" s="60"/>
      <c r="Q1009" s="60"/>
      <c r="R1009" s="60"/>
      <c r="S1009" s="60"/>
      <c r="T1009" s="60"/>
      <c r="U1009" s="60"/>
      <c r="V1009" s="60"/>
      <c r="W1009" s="60"/>
    </row>
    <row r="1010" spans="7:23" x14ac:dyDescent="0.25">
      <c r="G1010" s="60"/>
      <c r="H1010" s="60"/>
      <c r="I1010" s="60"/>
      <c r="J1010" s="60"/>
      <c r="K1010" s="60"/>
      <c r="L1010" s="60"/>
      <c r="M1010" s="60"/>
      <c r="N1010" s="60"/>
      <c r="O1010" s="60"/>
      <c r="P1010" s="60"/>
      <c r="Q1010" s="60"/>
      <c r="R1010" s="60"/>
      <c r="S1010" s="60"/>
      <c r="T1010" s="60"/>
      <c r="U1010" s="60"/>
      <c r="V1010" s="60"/>
      <c r="W1010" s="60"/>
    </row>
    <row r="1011" spans="7:23" x14ac:dyDescent="0.25">
      <c r="G1011" s="60"/>
      <c r="H1011" s="60"/>
      <c r="I1011" s="60"/>
      <c r="J1011" s="60"/>
      <c r="K1011" s="60"/>
      <c r="L1011" s="60"/>
      <c r="M1011" s="60"/>
      <c r="N1011" s="60"/>
      <c r="O1011" s="60"/>
      <c r="P1011" s="60"/>
      <c r="Q1011" s="60"/>
      <c r="R1011" s="60"/>
      <c r="S1011" s="60"/>
      <c r="T1011" s="60"/>
      <c r="U1011" s="60"/>
      <c r="V1011" s="60"/>
      <c r="W1011" s="60"/>
    </row>
    <row r="1012" spans="7:23" x14ac:dyDescent="0.25">
      <c r="G1012" s="60"/>
      <c r="H1012" s="60"/>
      <c r="I1012" s="60"/>
      <c r="J1012" s="60"/>
      <c r="K1012" s="60"/>
      <c r="L1012" s="60"/>
      <c r="M1012" s="60"/>
      <c r="N1012" s="60"/>
      <c r="O1012" s="60"/>
      <c r="P1012" s="60"/>
      <c r="Q1012" s="60"/>
      <c r="R1012" s="60"/>
      <c r="S1012" s="60"/>
      <c r="T1012" s="60"/>
      <c r="U1012" s="60"/>
      <c r="V1012" s="60"/>
      <c r="W1012" s="60"/>
    </row>
    <row r="1013" spans="7:23" x14ac:dyDescent="0.25">
      <c r="G1013" s="60"/>
      <c r="H1013" s="60"/>
      <c r="I1013" s="60"/>
      <c r="J1013" s="60"/>
      <c r="K1013" s="60"/>
      <c r="L1013" s="60"/>
      <c r="M1013" s="60"/>
      <c r="N1013" s="60"/>
      <c r="O1013" s="60"/>
      <c r="P1013" s="60"/>
      <c r="Q1013" s="60"/>
      <c r="R1013" s="60"/>
      <c r="S1013" s="60"/>
      <c r="T1013" s="60"/>
      <c r="U1013" s="60"/>
      <c r="V1013" s="60"/>
      <c r="W1013" s="60"/>
    </row>
    <row r="1014" spans="7:23" x14ac:dyDescent="0.25">
      <c r="G1014" s="60"/>
      <c r="H1014" s="60"/>
      <c r="I1014" s="60"/>
      <c r="J1014" s="60"/>
      <c r="K1014" s="60"/>
      <c r="L1014" s="60"/>
      <c r="M1014" s="60"/>
      <c r="N1014" s="60"/>
      <c r="O1014" s="60"/>
      <c r="P1014" s="60"/>
      <c r="Q1014" s="60"/>
      <c r="R1014" s="60"/>
      <c r="S1014" s="60"/>
      <c r="T1014" s="60"/>
      <c r="U1014" s="60"/>
      <c r="V1014" s="60"/>
      <c r="W1014" s="60"/>
    </row>
    <row r="1015" spans="7:23" x14ac:dyDescent="0.25">
      <c r="G1015" s="60"/>
      <c r="H1015" s="60"/>
      <c r="I1015" s="60"/>
      <c r="J1015" s="60"/>
      <c r="K1015" s="60"/>
      <c r="L1015" s="60"/>
      <c r="M1015" s="60"/>
      <c r="N1015" s="60"/>
      <c r="O1015" s="60"/>
      <c r="P1015" s="60"/>
      <c r="Q1015" s="60"/>
      <c r="R1015" s="60"/>
      <c r="S1015" s="60"/>
      <c r="T1015" s="60"/>
      <c r="U1015" s="60"/>
      <c r="V1015" s="60"/>
      <c r="W1015" s="60"/>
    </row>
    <row r="1016" spans="7:23" x14ac:dyDescent="0.25">
      <c r="G1016" s="60"/>
      <c r="H1016" s="60"/>
      <c r="I1016" s="60"/>
      <c r="J1016" s="60"/>
      <c r="K1016" s="60"/>
      <c r="L1016" s="60"/>
      <c r="M1016" s="60"/>
      <c r="N1016" s="60"/>
      <c r="O1016" s="60"/>
      <c r="P1016" s="60"/>
      <c r="Q1016" s="60"/>
      <c r="R1016" s="60"/>
      <c r="S1016" s="60"/>
      <c r="T1016" s="60"/>
      <c r="U1016" s="60"/>
      <c r="V1016" s="60"/>
      <c r="W1016" s="60"/>
    </row>
    <row r="1017" spans="7:23" x14ac:dyDescent="0.25">
      <c r="G1017" s="60"/>
      <c r="H1017" s="60"/>
      <c r="I1017" s="60"/>
      <c r="J1017" s="60"/>
      <c r="K1017" s="60"/>
      <c r="L1017" s="60"/>
      <c r="M1017" s="60"/>
      <c r="N1017" s="60"/>
      <c r="O1017" s="60"/>
      <c r="P1017" s="60"/>
      <c r="Q1017" s="60"/>
      <c r="R1017" s="60"/>
      <c r="S1017" s="60"/>
      <c r="T1017" s="60"/>
      <c r="U1017" s="60"/>
      <c r="V1017" s="60"/>
      <c r="W1017" s="60"/>
    </row>
    <row r="1018" spans="7:23" x14ac:dyDescent="0.25">
      <c r="G1018" s="60"/>
      <c r="H1018" s="60"/>
      <c r="I1018" s="60"/>
      <c r="J1018" s="60"/>
      <c r="K1018" s="60"/>
      <c r="L1018" s="60"/>
      <c r="M1018" s="60"/>
      <c r="N1018" s="60"/>
      <c r="O1018" s="60"/>
      <c r="P1018" s="60"/>
      <c r="Q1018" s="60"/>
      <c r="R1018" s="60"/>
      <c r="S1018" s="60"/>
      <c r="T1018" s="60"/>
      <c r="U1018" s="60"/>
      <c r="V1018" s="60"/>
      <c r="W1018" s="60"/>
    </row>
    <row r="1019" spans="7:23" x14ac:dyDescent="0.25">
      <c r="G1019" s="60"/>
      <c r="H1019" s="60"/>
      <c r="I1019" s="60"/>
      <c r="J1019" s="60"/>
      <c r="K1019" s="60"/>
      <c r="L1019" s="60"/>
      <c r="M1019" s="60"/>
      <c r="N1019" s="60"/>
      <c r="O1019" s="60"/>
      <c r="P1019" s="60"/>
      <c r="Q1019" s="60"/>
      <c r="R1019" s="60"/>
      <c r="S1019" s="60"/>
      <c r="T1019" s="60"/>
      <c r="U1019" s="60"/>
      <c r="V1019" s="60"/>
      <c r="W1019" s="60"/>
    </row>
    <row r="1020" spans="7:23" x14ac:dyDescent="0.25">
      <c r="G1020" s="60"/>
      <c r="H1020" s="60"/>
      <c r="I1020" s="60"/>
      <c r="J1020" s="60"/>
      <c r="K1020" s="60"/>
      <c r="L1020" s="60"/>
      <c r="M1020" s="60"/>
      <c r="N1020" s="60"/>
      <c r="O1020" s="60"/>
      <c r="P1020" s="60"/>
      <c r="Q1020" s="60"/>
      <c r="R1020" s="60"/>
      <c r="S1020" s="60"/>
      <c r="T1020" s="60"/>
      <c r="U1020" s="60"/>
      <c r="V1020" s="60"/>
      <c r="W1020" s="60"/>
    </row>
    <row r="1021" spans="7:23" x14ac:dyDescent="0.25">
      <c r="G1021" s="60"/>
      <c r="H1021" s="60"/>
      <c r="I1021" s="60"/>
      <c r="J1021" s="60"/>
      <c r="K1021" s="60"/>
      <c r="L1021" s="60"/>
      <c r="M1021" s="60"/>
      <c r="N1021" s="60"/>
      <c r="O1021" s="60"/>
      <c r="P1021" s="60"/>
      <c r="Q1021" s="60"/>
      <c r="R1021" s="60"/>
      <c r="S1021" s="60"/>
      <c r="T1021" s="60"/>
      <c r="U1021" s="60"/>
      <c r="V1021" s="60"/>
      <c r="W1021" s="60"/>
    </row>
    <row r="1022" spans="7:23" x14ac:dyDescent="0.25">
      <c r="G1022" s="60"/>
      <c r="H1022" s="60"/>
      <c r="I1022" s="60"/>
      <c r="J1022" s="60"/>
      <c r="K1022" s="60"/>
      <c r="L1022" s="60"/>
      <c r="M1022" s="60"/>
      <c r="N1022" s="60"/>
      <c r="O1022" s="60"/>
      <c r="P1022" s="60"/>
      <c r="Q1022" s="60"/>
      <c r="R1022" s="60"/>
      <c r="S1022" s="60"/>
      <c r="T1022" s="60"/>
      <c r="U1022" s="60"/>
      <c r="V1022" s="60"/>
      <c r="W1022" s="60"/>
    </row>
    <row r="1023" spans="7:23" x14ac:dyDescent="0.25">
      <c r="G1023" s="60"/>
      <c r="H1023" s="60"/>
      <c r="I1023" s="60"/>
      <c r="J1023" s="60"/>
      <c r="K1023" s="60"/>
      <c r="L1023" s="60"/>
      <c r="M1023" s="60"/>
      <c r="N1023" s="60"/>
      <c r="O1023" s="60"/>
      <c r="P1023" s="60"/>
      <c r="Q1023" s="60"/>
      <c r="R1023" s="60"/>
      <c r="S1023" s="60"/>
      <c r="T1023" s="60"/>
      <c r="U1023" s="60"/>
      <c r="V1023" s="60"/>
      <c r="W1023" s="60"/>
    </row>
    <row r="1024" spans="7:23" x14ac:dyDescent="0.25">
      <c r="G1024" s="60"/>
      <c r="H1024" s="60"/>
      <c r="I1024" s="60"/>
      <c r="J1024" s="60"/>
      <c r="K1024" s="60"/>
      <c r="L1024" s="60"/>
      <c r="M1024" s="60"/>
      <c r="N1024" s="60"/>
      <c r="O1024" s="60"/>
      <c r="P1024" s="60"/>
      <c r="Q1024" s="60"/>
      <c r="R1024" s="60"/>
      <c r="S1024" s="60"/>
      <c r="T1024" s="60"/>
      <c r="U1024" s="60"/>
      <c r="V1024" s="60"/>
      <c r="W1024" s="60"/>
    </row>
    <row r="1025" spans="7:23" x14ac:dyDescent="0.25">
      <c r="G1025" s="60"/>
      <c r="H1025" s="60"/>
      <c r="I1025" s="60"/>
      <c r="J1025" s="60"/>
      <c r="K1025" s="60"/>
      <c r="L1025" s="60"/>
      <c r="M1025" s="60"/>
      <c r="N1025" s="60"/>
      <c r="O1025" s="60"/>
      <c r="P1025" s="60"/>
      <c r="Q1025" s="60"/>
      <c r="R1025" s="60"/>
      <c r="S1025" s="60"/>
      <c r="T1025" s="60"/>
      <c r="U1025" s="60"/>
      <c r="V1025" s="60"/>
      <c r="W1025" s="60"/>
    </row>
    <row r="1026" spans="7:23" x14ac:dyDescent="0.25">
      <c r="G1026" s="60"/>
      <c r="H1026" s="60"/>
      <c r="I1026" s="60"/>
      <c r="J1026" s="60"/>
      <c r="K1026" s="60"/>
      <c r="L1026" s="60"/>
      <c r="M1026" s="60"/>
      <c r="N1026" s="60"/>
      <c r="O1026" s="60"/>
      <c r="P1026" s="60"/>
      <c r="Q1026" s="60"/>
      <c r="R1026" s="60"/>
      <c r="S1026" s="60"/>
      <c r="T1026" s="60"/>
      <c r="U1026" s="60"/>
      <c r="V1026" s="60"/>
      <c r="W1026" s="60"/>
    </row>
    <row r="1027" spans="7:23" x14ac:dyDescent="0.25">
      <c r="G1027" s="60"/>
      <c r="H1027" s="60"/>
      <c r="I1027" s="60"/>
      <c r="J1027" s="60"/>
      <c r="K1027" s="60"/>
      <c r="L1027" s="60"/>
      <c r="M1027" s="60"/>
      <c r="N1027" s="60"/>
      <c r="O1027" s="60"/>
      <c r="P1027" s="60"/>
      <c r="Q1027" s="60"/>
      <c r="R1027" s="60"/>
      <c r="S1027" s="60"/>
      <c r="T1027" s="60"/>
      <c r="U1027" s="60"/>
      <c r="V1027" s="60"/>
      <c r="W1027" s="60"/>
    </row>
    <row r="1028" spans="7:23" x14ac:dyDescent="0.25">
      <c r="G1028" s="60"/>
      <c r="H1028" s="60"/>
      <c r="I1028" s="60"/>
      <c r="J1028" s="60"/>
      <c r="K1028" s="60"/>
      <c r="L1028" s="60"/>
      <c r="M1028" s="60"/>
      <c r="N1028" s="60"/>
      <c r="O1028" s="60"/>
      <c r="P1028" s="60"/>
      <c r="Q1028" s="60"/>
      <c r="R1028" s="60"/>
      <c r="S1028" s="60"/>
      <c r="T1028" s="60"/>
      <c r="U1028" s="60"/>
      <c r="V1028" s="60"/>
      <c r="W1028" s="60"/>
    </row>
    <row r="1029" spans="7:23" x14ac:dyDescent="0.25">
      <c r="G1029" s="60"/>
      <c r="H1029" s="60"/>
      <c r="I1029" s="60"/>
      <c r="J1029" s="60"/>
      <c r="K1029" s="60"/>
      <c r="L1029" s="60"/>
      <c r="M1029" s="60"/>
      <c r="N1029" s="60"/>
      <c r="O1029" s="60"/>
      <c r="P1029" s="60"/>
      <c r="Q1029" s="60"/>
      <c r="R1029" s="60"/>
      <c r="S1029" s="60"/>
      <c r="T1029" s="60"/>
      <c r="U1029" s="60"/>
      <c r="V1029" s="60"/>
      <c r="W1029" s="60"/>
    </row>
    <row r="1030" spans="7:23" x14ac:dyDescent="0.25">
      <c r="G1030" s="60"/>
      <c r="H1030" s="60"/>
      <c r="I1030" s="60"/>
      <c r="J1030" s="60"/>
      <c r="K1030" s="60"/>
      <c r="L1030" s="60"/>
      <c r="M1030" s="60"/>
      <c r="N1030" s="60"/>
      <c r="O1030" s="60"/>
      <c r="P1030" s="60"/>
      <c r="Q1030" s="60"/>
      <c r="R1030" s="60"/>
      <c r="S1030" s="60"/>
      <c r="T1030" s="60"/>
      <c r="U1030" s="60"/>
      <c r="V1030" s="60"/>
      <c r="W1030" s="60"/>
    </row>
    <row r="1031" spans="7:23" x14ac:dyDescent="0.25">
      <c r="G1031" s="60"/>
      <c r="H1031" s="60"/>
      <c r="I1031" s="60"/>
      <c r="J1031" s="60"/>
      <c r="K1031" s="60"/>
      <c r="L1031" s="60"/>
      <c r="M1031" s="60"/>
      <c r="N1031" s="60"/>
      <c r="O1031" s="60"/>
      <c r="P1031" s="60"/>
      <c r="Q1031" s="60"/>
      <c r="R1031" s="60"/>
      <c r="S1031" s="60"/>
      <c r="T1031" s="60"/>
      <c r="U1031" s="60"/>
      <c r="V1031" s="60"/>
      <c r="W1031" s="60"/>
    </row>
    <row r="1032" spans="7:23" x14ac:dyDescent="0.25">
      <c r="G1032" s="60"/>
      <c r="H1032" s="60"/>
      <c r="I1032" s="60"/>
      <c r="J1032" s="60"/>
      <c r="K1032" s="60"/>
      <c r="L1032" s="60"/>
      <c r="M1032" s="60"/>
      <c r="N1032" s="60"/>
      <c r="O1032" s="60"/>
      <c r="P1032" s="60"/>
      <c r="Q1032" s="60"/>
      <c r="R1032" s="60"/>
      <c r="S1032" s="60"/>
      <c r="T1032" s="60"/>
      <c r="U1032" s="60"/>
      <c r="V1032" s="60"/>
      <c r="W1032" s="60"/>
    </row>
    <row r="1033" spans="7:23" x14ac:dyDescent="0.25">
      <c r="G1033" s="60"/>
      <c r="H1033" s="60"/>
      <c r="I1033" s="60"/>
      <c r="J1033" s="60"/>
      <c r="K1033" s="60"/>
      <c r="L1033" s="60"/>
      <c r="M1033" s="60"/>
      <c r="N1033" s="60"/>
      <c r="O1033" s="60"/>
      <c r="P1033" s="60"/>
      <c r="Q1033" s="60"/>
      <c r="R1033" s="60"/>
      <c r="S1033" s="60"/>
      <c r="T1033" s="60"/>
      <c r="U1033" s="60"/>
      <c r="V1033" s="60"/>
      <c r="W1033" s="60"/>
    </row>
    <row r="1034" spans="7:23" x14ac:dyDescent="0.25">
      <c r="G1034" s="60"/>
      <c r="H1034" s="60"/>
      <c r="I1034" s="60"/>
      <c r="J1034" s="60"/>
      <c r="K1034" s="60"/>
      <c r="L1034" s="60"/>
      <c r="M1034" s="60"/>
      <c r="N1034" s="60"/>
      <c r="O1034" s="60"/>
      <c r="P1034" s="60"/>
      <c r="Q1034" s="60"/>
      <c r="R1034" s="60"/>
      <c r="S1034" s="60"/>
      <c r="T1034" s="60"/>
      <c r="U1034" s="60"/>
      <c r="V1034" s="60"/>
      <c r="W1034" s="60"/>
    </row>
  </sheetData>
  <autoFilter ref="A45:Y210"/>
  <phoneticPr fontId="20" type="noConversion"/>
  <conditionalFormatting sqref="X1:XFD1 A1:S1">
    <cfRule type="cellIs" dxfId="330" priority="13" operator="equal">
      <formula>"Complete"</formula>
    </cfRule>
    <cfRule type="cellIs" dxfId="329" priority="14" operator="equal">
      <formula>"Incomplete"</formula>
    </cfRule>
    <cfRule type="cellIs" dxfId="328" priority="15" operator="equal">
      <formula>"Complete"</formula>
    </cfRule>
    <cfRule type="cellIs" dxfId="327" priority="16" operator="equal">
      <formula>"Incomplete"</formula>
    </cfRule>
  </conditionalFormatting>
  <conditionalFormatting sqref="T1 V1">
    <cfRule type="cellIs" dxfId="326" priority="9" operator="equal">
      <formula>"Complete"</formula>
    </cfRule>
    <cfRule type="cellIs" dxfId="325" priority="10" operator="equal">
      <formula>"Incomplete"</formula>
    </cfRule>
    <cfRule type="cellIs" dxfId="324" priority="11" operator="equal">
      <formula>"Complete"</formula>
    </cfRule>
    <cfRule type="cellIs" dxfId="323" priority="12" operator="equal">
      <formula>"Incomplete"</formula>
    </cfRule>
  </conditionalFormatting>
  <conditionalFormatting sqref="U1">
    <cfRule type="cellIs" dxfId="322" priority="5" operator="equal">
      <formula>"Complete"</formula>
    </cfRule>
    <cfRule type="cellIs" dxfId="321" priority="6" operator="equal">
      <formula>"Incomplete"</formula>
    </cfRule>
    <cfRule type="cellIs" dxfId="320" priority="7" operator="equal">
      <formula>"Complete"</formula>
    </cfRule>
    <cfRule type="cellIs" dxfId="319" priority="8" operator="equal">
      <formula>"Incomplete"</formula>
    </cfRule>
  </conditionalFormatting>
  <conditionalFormatting sqref="W1">
    <cfRule type="cellIs" dxfId="318" priority="1" operator="equal">
      <formula>"Complete"</formula>
    </cfRule>
    <cfRule type="cellIs" dxfId="317" priority="2" operator="equal">
      <formula>"Incomplete"</formula>
    </cfRule>
    <cfRule type="cellIs" dxfId="316" priority="3" operator="equal">
      <formula>"Complete"</formula>
    </cfRule>
    <cfRule type="cellIs" dxfId="315" priority="4" operator="equal">
      <formula>"Incomplete"</formula>
    </cfRule>
  </conditionalFormatting>
  <dataValidations count="43">
    <dataValidation type="custom" allowBlank="1" showInputMessage="1" showErrorMessage="1" sqref="B3 B5">
      <formula1>B3</formula1>
    </dataValidation>
    <dataValidation type="list" allowBlank="1" showInputMessage="1" showErrorMessage="1" sqref="B4">
      <formula1>"Codeset: WERS CODE, Codeset: JAG OA, Codeset: JLR CODE"</formula1>
    </dataValidation>
    <dataValidation type="list" allowBlank="1" showInputMessage="1" showErrorMessage="1" sqref="B6">
      <formula1>"AUTO Change Log: YES, AUTO Change Log: NO"</formula1>
    </dataValidation>
    <dataValidation type="custom" allowBlank="1" showInputMessage="1" showErrorMessage="1" errorTitle="OXO/Date added" error="Restricted: OXO version and Date added" sqref="S33">
      <formula1>"S33"</formula1>
    </dataValidation>
    <dataValidation type="custom" allowBlank="1" showInputMessage="1" showErrorMessage="1" errorTitle="OXO/Date added" error="Restricted: OXO version and Date added" sqref="R33">
      <formula1>"R33"</formula1>
    </dataValidation>
    <dataValidation type="custom" allowBlank="1" showInputMessage="1" showErrorMessage="1" errorTitle="OXO/Date added" error="Restricted: OXO version and Date added" sqref="Q33">
      <formula1>"Q33"</formula1>
    </dataValidation>
    <dataValidation type="custom" allowBlank="1" showInputMessage="1" showErrorMessage="1" errorTitle="OXO/Date added" error="Restricted: OXO version and Date added" sqref="P33">
      <formula1>"P33"</formula1>
    </dataValidation>
    <dataValidation type="custom" allowBlank="1" showInputMessage="1" showErrorMessage="1" errorTitle="OXO/Date added" error="Restricted: OXO version and Date added" sqref="O33">
      <formula1>"O33"</formula1>
    </dataValidation>
    <dataValidation type="custom" allowBlank="1" showInputMessage="1" showErrorMessage="1" errorTitle="OXO/Date added" error="Restricted: OXO version and Date added" sqref="N33">
      <formula1>"N33"</formula1>
    </dataValidation>
    <dataValidation type="custom" allowBlank="1" showInputMessage="1" showErrorMessage="1" errorTitle="OXO/Date added" error="Restricted: OXO version and Date added" sqref="M33">
      <formula1>"M33"</formula1>
    </dataValidation>
    <dataValidation type="custom" allowBlank="1" showInputMessage="1" showErrorMessage="1" errorTitle="OXO/Date added" error="Restricted: OXO version and Date added" sqref="L33">
      <formula1>"L33"</formula1>
    </dataValidation>
    <dataValidation type="custom" allowBlank="1" showInputMessage="1" showErrorMessage="1" errorTitle="OXO/Date added" error="Restricted: OXO version and Date added" sqref="K33">
      <formula1>"K33"</formula1>
    </dataValidation>
    <dataValidation type="custom" allowBlank="1" showInputMessage="1" showErrorMessage="1" errorTitle="OXO/Date added" error="Restricted: OXO version and Date added" sqref="J33">
      <formula1>"J33"</formula1>
    </dataValidation>
    <dataValidation type="custom" allowBlank="1" showInputMessage="1" showErrorMessage="1" errorTitle="OXO/Date added" error="Restricted: OXO version and Date added" sqref="I33 U33 W33">
      <formula1>"I33"</formula1>
    </dataValidation>
    <dataValidation type="custom" allowBlank="1" showInputMessage="1" showErrorMessage="1" errorTitle="OXO/Date added" error="Restricted: OXO version and Date added" sqref="H33">
      <formula1>"H33"</formula1>
    </dataValidation>
    <dataValidation type="custom" allowBlank="1" showInputMessage="1" showErrorMessage="1" errorTitle="OXO/Date added" error="Restricted: OXO version and Date added" sqref="G33">
      <formula1>"G33"</formula1>
    </dataValidation>
    <dataValidation type="list" allowBlank="1" showInputMessage="1" showErrorMessage="1" errorTitle="Hand of Drive" error="Must enter RHD or LHD" sqref="G16:W16">
      <formula1>"RHD,LHD"</formula1>
    </dataValidation>
    <dataValidation type="custom" allowBlank="1" showInputMessage="1" showErrorMessage="1" errorTitle="Exterior Body Colour" error="Please select a Exterior Colour in main body of the SDV_x000d__x000a_This information will be updated when vehicle is set to Complete" sqref="G11">
      <formula1>"G11"</formula1>
    </dataValidation>
    <dataValidation type="custom" allowBlank="1" showInputMessage="1" showErrorMessage="1" errorTitle="Exterior Body Colour" error="Please select a Exterior Colour in main body of the SDV_x000d__x000a_This information will be updated when vehicle is set to Complete" sqref="H11">
      <formula1>"H11"</formula1>
    </dataValidation>
    <dataValidation type="custom" allowBlank="1" showInputMessage="1" showErrorMessage="1" errorTitle="Exterior Body Colour" error="Please select a Exterior Colour in main body of the SDV_x000d__x000a_This information will be updated when vehicle is set to Complete" sqref="I11 U11 W11">
      <formula1>"I11"</formula1>
    </dataValidation>
    <dataValidation type="custom" allowBlank="1" showInputMessage="1" showErrorMessage="1" errorTitle="Exterior Body Colour" error="Please select a Exterior Colour in main body of the SDV_x000d__x000a_This information will be updated when vehicle is set to Complete" sqref="J11">
      <formula1>"J11"</formula1>
    </dataValidation>
    <dataValidation type="custom" allowBlank="1" showInputMessage="1" showErrorMessage="1" errorTitle="Exterior Body Colour" error="Please select a Exterior Colour in main body of the SDV_x000d__x000a_This information will be updated when vehicle is set to Complete" sqref="K11">
      <formula1>"K11"</formula1>
    </dataValidation>
    <dataValidation type="custom" allowBlank="1" showInputMessage="1" showErrorMessage="1" errorTitle="Exterior Body Colour" error="Please select a Exterior Colour in main body of the SDV_x000d__x000a_This information will be updated when vehicle is set to Complete" sqref="L11">
      <formula1>"L11"</formula1>
    </dataValidation>
    <dataValidation type="custom" allowBlank="1" showInputMessage="1" showErrorMessage="1" errorTitle="Exterior Body Colour" error="Please select a Exterior Colour in main body of the SDV_x000d__x000a_This information will be updated when vehicle is set to Complete" sqref="M11">
      <formula1>"M11"</formula1>
    </dataValidation>
    <dataValidation type="custom" allowBlank="1" showInputMessage="1" showErrorMessage="1" errorTitle="Exterior Body Colour" error="Please select a Exterior Colour in main body of the SDV_x000d__x000a_This information will be updated when vehicle is set to Complete" sqref="N11">
      <formula1>"N11"</formula1>
    </dataValidation>
    <dataValidation type="custom" allowBlank="1" showInputMessage="1" showErrorMessage="1" errorTitle="Exterior Body Colour" error="Please select a Exterior Colour in main body of the SDV_x000d__x000a_This information will be updated when vehicle is set to Complete" sqref="O11">
      <formula1>"O11"</formula1>
    </dataValidation>
    <dataValidation type="custom" allowBlank="1" showInputMessage="1" showErrorMessage="1" errorTitle="Exterior Body Colour" error="Please select a Exterior Colour in main body of the SDV_x000d__x000a_This information will be updated when vehicle is set to Complete" sqref="P11">
      <formula1>"P11"</formula1>
    </dataValidation>
    <dataValidation type="custom" allowBlank="1" showInputMessage="1" showErrorMessage="1" errorTitle="Exterior Body Colour" error="Please select a Exterior Colour in main body of the SDV_x000d__x000a_This information will be updated when vehicle is set to Complete" sqref="Q11">
      <formula1>"Q11"</formula1>
    </dataValidation>
    <dataValidation type="custom" allowBlank="1" showInputMessage="1" showErrorMessage="1" errorTitle="Exterior Body Colour" error="Please select a Exterior Colour in main body of the SDV_x000d__x000a_This information will be updated when vehicle is set to Complete" sqref="R11">
      <formula1>"R11"</formula1>
    </dataValidation>
    <dataValidation type="custom" allowBlank="1" showInputMessage="1" showErrorMessage="1" errorTitle="Exterior Body Colour" error="Please select a Exterior Colour in main body of the SDV_x000d__x000a_This information will be updated when vehicle is set to Complete" sqref="S11">
      <formula1>"S11"</formula1>
    </dataValidation>
    <dataValidation type="list" allowBlank="1" showInputMessage="1" showErrorMessage="1" sqref="G50:W50 G57:W57 G61:W61 G143:W143 G89:W89 G63:W63 G67:W68 G70:W70 G160:W160 G164:W164 G87:W87 G98:W98 G94:W94 G65:W65 G96:W96 G103:W103 G162:W162 G106:W106 G108:W108 G46:W46 G113:W113 G172:W179 G130:W130 G126:W126 G169:W170 G133:W133 G135:W135 G117:W117 G146:W150 G138:W138 G166:W167 G152:W152 G155:W155">
      <formula1>"S,S-N"</formula1>
    </dataValidation>
    <dataValidation type="list" allowBlank="1" showInputMessage="1" showErrorMessage="1" sqref="G47:W48">
      <formula1>"(O)-Y,(O)-N,(O)"</formula1>
    </dataValidation>
    <dataValidation type="list" allowBlank="1" showInputMessage="1" showErrorMessage="1" sqref="G83:W86 G107:W107 G101:W102 G81:W81 G201:W201 G104:W104 G74:W79 G144:W144 G205:W205 G72:W72 G127:W127 G154:W154 G55:W55 G158:W158 G118:W119 G52:W52 U194 G163:T163 W194 V163">
      <formula1>"O-Y,O-N,O"</formula1>
    </dataValidation>
    <dataValidation type="list" allowBlank="1" showDropDown="1" showInputMessage="1" showErrorMessage="1" sqref="G139:W140 G60:W60 G53:W53">
      <formula1>"M"</formula1>
    </dataValidation>
    <dataValidation type="list" allowBlank="1" showInputMessage="1" showErrorMessage="1" sqref="G58:W58 G111:W111 G151:W151 G62:W62 G207:W208 G137:W137 G120:W124 G142:W142 G91:W93 G171:W171 G159:W159 G95:W95 G115:W116 G168:W168 G109:W109 G181:T200 U195:U200 U181:U193 V181:V200 W181:W193 W195:W200">
      <formula1>"NA"</formula1>
    </dataValidation>
    <dataValidation type="list" allowBlank="1" showDropDown="1" showInputMessage="1" showErrorMessage="1" promptTitle="Pack-Only Feature" prompt="To select this feature you must select the corresponding Option Pack" sqref="G209:W210 G206:W206 G202:W204 G156:W156 G131:W131 G129:W129 G112:W112 G99:W99 G66:W66">
      <formula1>"P"</formula1>
    </dataValidation>
    <dataValidation type="list" allowBlank="1" showInputMessage="1" showErrorMessage="1" sqref="G1:W1">
      <formula1>"Complete, Incomplete"</formula1>
    </dataValidation>
    <dataValidation type="custom" allowBlank="1" showInputMessage="1" showErrorMessage="1" errorTitle="OXO/Date added" error="Restricted: OXO version and Date added" sqref="T33">
      <formula1>"T33"</formula1>
    </dataValidation>
    <dataValidation type="custom" allowBlank="1" showInputMessage="1" showErrorMessage="1" errorTitle="OXO/Date added" error="Restricted: OXO version and Date added" sqref="V33">
      <formula1>"V33"</formula1>
    </dataValidation>
    <dataValidation type="custom" allowBlank="1" showInputMessage="1" showErrorMessage="1" errorTitle="Exterior Body Colour" error="Please select a Exterior Colour in main body of the SDV_x000d__x000a_This information will be updated when vehicle is set to Complete" sqref="T11">
      <formula1>"T11"</formula1>
    </dataValidation>
    <dataValidation type="custom" allowBlank="1" showInputMessage="1" showErrorMessage="1" errorTitle="Exterior Body Colour" error="Please select a Exterior Colour in main body of the SDV_x000d__x000a_This information will be updated when vehicle is set to Complete" sqref="V11">
      <formula1>"V11"</formula1>
    </dataValidation>
    <dataValidation type="list" allowBlank="1" showDropDown="1" showInputMessage="1" showErrorMessage="1" promptTitle="Option Selected via Pack" prompt="This feature has been selected as part of pack: CONVENIENCE PACK_x000d__x000a_To remove this feature the pack/s must be deselected" sqref="U163">
      <formula1>"O-Y"</formula1>
    </dataValidation>
    <dataValidation type="list" allowBlank="1" showDropDown="1" showInputMessage="1" showErrorMessage="1" promptTitle="Option Selected via Pack" prompt="This feature has been selected as part of pack: CONVENIENCE PACK_x000d__x000a_To remove this feature the pack/s must be deselected" sqref="W163">
      <formula1>"O-Y"</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error="Invalid CI Code Entered - Contact planner if deviation is required" promptTitle="CI Code" prompt="Select CI Code from codes list -  Deviations must be approved">
          <x14:formula1>
            <xm:f>Data!$A$2:$A$51</xm:f>
          </x14:formula1>
          <xm:sqref>G43:W43 G28:W28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8"/>
  <sheetViews>
    <sheetView topLeftCell="A10" workbookViewId="0">
      <selection activeCell="A35" sqref="A35"/>
    </sheetView>
  </sheetViews>
  <sheetFormatPr defaultRowHeight="15" x14ac:dyDescent="0.25"/>
  <cols>
    <col min="1" max="1" width="12.875" style="82" customWidth="1"/>
    <col min="2" max="2" width="24" style="82" customWidth="1"/>
    <col min="3" max="3" width="14.625" style="82" customWidth="1"/>
    <col min="4" max="4" width="13.875" style="82" customWidth="1"/>
    <col min="5" max="5" width="75.125" style="82" customWidth="1"/>
    <col min="6" max="6" width="18.125" style="82" customWidth="1"/>
    <col min="7" max="7" width="14.375" style="82" customWidth="1"/>
    <col min="8" max="16384" width="9" style="45"/>
  </cols>
  <sheetData>
    <row r="1" spans="1:7" ht="30.75" customHeight="1" x14ac:dyDescent="0.25">
      <c r="A1" s="68" t="s">
        <v>109</v>
      </c>
      <c r="B1" s="68" t="s">
        <v>528</v>
      </c>
      <c r="C1" s="68"/>
      <c r="D1" s="68"/>
      <c r="E1" s="68"/>
      <c r="F1" s="68"/>
      <c r="G1" s="68"/>
    </row>
    <row r="2" spans="1:7" x14ac:dyDescent="0.25">
      <c r="A2" s="69" t="s">
        <v>0</v>
      </c>
      <c r="B2" s="69" t="s">
        <v>1</v>
      </c>
      <c r="C2" s="69" t="s">
        <v>2</v>
      </c>
      <c r="D2" s="69" t="s">
        <v>3</v>
      </c>
      <c r="E2" s="69" t="s">
        <v>4</v>
      </c>
      <c r="F2" s="69" t="s">
        <v>5</v>
      </c>
      <c r="G2" s="69" t="s">
        <v>6</v>
      </c>
    </row>
    <row r="3" spans="1:7" x14ac:dyDescent="0.25">
      <c r="A3" s="70"/>
      <c r="B3" s="71"/>
      <c r="C3" s="71"/>
      <c r="D3" s="72"/>
      <c r="E3" s="72" t="s">
        <v>3648</v>
      </c>
      <c r="F3" s="73"/>
      <c r="G3" s="72"/>
    </row>
    <row r="4" spans="1:7" x14ac:dyDescent="0.25">
      <c r="A4" s="74">
        <v>43822</v>
      </c>
      <c r="B4" s="75" t="s">
        <v>3601</v>
      </c>
      <c r="C4" s="75" t="s">
        <v>3627</v>
      </c>
      <c r="D4" s="75"/>
      <c r="E4" s="76" t="s">
        <v>3649</v>
      </c>
      <c r="F4" s="76" t="s">
        <v>3650</v>
      </c>
      <c r="G4" s="75" t="s">
        <v>3651</v>
      </c>
    </row>
    <row r="5" spans="1:7" x14ac:dyDescent="0.25">
      <c r="A5" s="74">
        <v>43822</v>
      </c>
      <c r="B5" s="75" t="s">
        <v>3601</v>
      </c>
      <c r="C5" s="75" t="s">
        <v>3627</v>
      </c>
      <c r="D5" s="75"/>
      <c r="E5" s="76" t="s">
        <v>3652</v>
      </c>
      <c r="F5" s="76" t="s">
        <v>3650</v>
      </c>
      <c r="G5" s="75" t="s">
        <v>3651</v>
      </c>
    </row>
    <row r="6" spans="1:7" x14ac:dyDescent="0.25">
      <c r="A6" s="74">
        <v>43822</v>
      </c>
      <c r="B6" s="75" t="s">
        <v>3601</v>
      </c>
      <c r="C6" s="75" t="s">
        <v>3627</v>
      </c>
      <c r="D6" s="75"/>
      <c r="E6" s="76" t="s">
        <v>3653</v>
      </c>
      <c r="F6" s="76" t="s">
        <v>3650</v>
      </c>
      <c r="G6" s="75" t="s">
        <v>3651</v>
      </c>
    </row>
    <row r="7" spans="1:7" x14ac:dyDescent="0.25">
      <c r="A7" s="74">
        <v>43822</v>
      </c>
      <c r="B7" s="75" t="s">
        <v>3601</v>
      </c>
      <c r="C7" s="75" t="s">
        <v>3627</v>
      </c>
      <c r="D7" s="75"/>
      <c r="E7" s="76" t="s">
        <v>3654</v>
      </c>
      <c r="F7" s="76" t="s">
        <v>3650</v>
      </c>
      <c r="G7" s="75" t="s">
        <v>3651</v>
      </c>
    </row>
    <row r="8" spans="1:7" x14ac:dyDescent="0.25">
      <c r="A8" s="74">
        <v>43822</v>
      </c>
      <c r="B8" s="75" t="s">
        <v>3601</v>
      </c>
      <c r="C8" s="75" t="s">
        <v>3627</v>
      </c>
      <c r="D8" s="75"/>
      <c r="E8" s="76" t="s">
        <v>3655</v>
      </c>
      <c r="F8" s="76" t="s">
        <v>3650</v>
      </c>
      <c r="G8" s="75" t="s">
        <v>3651</v>
      </c>
    </row>
    <row r="9" spans="1:7" x14ac:dyDescent="0.25">
      <c r="A9" s="74">
        <v>43822</v>
      </c>
      <c r="B9" s="75" t="s">
        <v>3601</v>
      </c>
      <c r="C9" s="75" t="s">
        <v>3628</v>
      </c>
      <c r="D9" s="75"/>
      <c r="E9" s="76" t="s">
        <v>3649</v>
      </c>
      <c r="F9" s="76" t="s">
        <v>3650</v>
      </c>
      <c r="G9" s="75" t="s">
        <v>3651</v>
      </c>
    </row>
    <row r="10" spans="1:7" x14ac:dyDescent="0.25">
      <c r="A10" s="74">
        <v>43822</v>
      </c>
      <c r="B10" s="75" t="s">
        <v>3601</v>
      </c>
      <c r="C10" s="75" t="s">
        <v>3628</v>
      </c>
      <c r="D10" s="75"/>
      <c r="E10" s="76" t="s">
        <v>3652</v>
      </c>
      <c r="F10" s="76" t="s">
        <v>3650</v>
      </c>
      <c r="G10" s="75" t="s">
        <v>3651</v>
      </c>
    </row>
    <row r="11" spans="1:7" x14ac:dyDescent="0.25">
      <c r="A11" s="74">
        <v>43822</v>
      </c>
      <c r="B11" s="75" t="s">
        <v>3601</v>
      </c>
      <c r="C11" s="75" t="s">
        <v>3628</v>
      </c>
      <c r="D11" s="75"/>
      <c r="E11" s="76" t="s">
        <v>3653</v>
      </c>
      <c r="F11" s="76" t="s">
        <v>3650</v>
      </c>
      <c r="G11" s="75" t="s">
        <v>3651</v>
      </c>
    </row>
    <row r="12" spans="1:7" x14ac:dyDescent="0.25">
      <c r="A12" s="74">
        <v>43822</v>
      </c>
      <c r="B12" s="75" t="s">
        <v>3601</v>
      </c>
      <c r="C12" s="75" t="s">
        <v>3628</v>
      </c>
      <c r="D12" s="75"/>
      <c r="E12" s="76" t="s">
        <v>3654</v>
      </c>
      <c r="F12" s="76" t="s">
        <v>3650</v>
      </c>
      <c r="G12" s="75" t="s">
        <v>3651</v>
      </c>
    </row>
    <row r="13" spans="1:7" x14ac:dyDescent="0.25">
      <c r="A13" s="74">
        <v>43822</v>
      </c>
      <c r="B13" s="75" t="s">
        <v>3601</v>
      </c>
      <c r="C13" s="75" t="s">
        <v>3628</v>
      </c>
      <c r="D13" s="75"/>
      <c r="E13" s="76" t="s">
        <v>3655</v>
      </c>
      <c r="F13" s="76" t="s">
        <v>3650</v>
      </c>
      <c r="G13" s="75" t="s">
        <v>3651</v>
      </c>
    </row>
    <row r="14" spans="1:7" x14ac:dyDescent="0.25">
      <c r="A14" s="74">
        <v>43822</v>
      </c>
      <c r="B14" s="75" t="s">
        <v>3601</v>
      </c>
      <c r="C14" s="75" t="s">
        <v>3629</v>
      </c>
      <c r="D14" s="75"/>
      <c r="E14" s="76" t="s">
        <v>3649</v>
      </c>
      <c r="F14" s="76" t="s">
        <v>3650</v>
      </c>
      <c r="G14" s="75" t="s">
        <v>3651</v>
      </c>
    </row>
    <row r="15" spans="1:7" x14ac:dyDescent="0.25">
      <c r="A15" s="74">
        <v>43822</v>
      </c>
      <c r="B15" s="75" t="s">
        <v>3601</v>
      </c>
      <c r="C15" s="75" t="s">
        <v>3629</v>
      </c>
      <c r="D15" s="75"/>
      <c r="E15" s="76" t="s">
        <v>3652</v>
      </c>
      <c r="F15" s="76" t="s">
        <v>3650</v>
      </c>
      <c r="G15" s="75" t="s">
        <v>3651</v>
      </c>
    </row>
    <row r="16" spans="1:7" x14ac:dyDescent="0.25">
      <c r="A16" s="74">
        <v>43822</v>
      </c>
      <c r="B16" s="75" t="s">
        <v>3601</v>
      </c>
      <c r="C16" s="75" t="s">
        <v>3629</v>
      </c>
      <c r="D16" s="75"/>
      <c r="E16" s="76" t="s">
        <v>3653</v>
      </c>
      <c r="F16" s="76" t="s">
        <v>3650</v>
      </c>
      <c r="G16" s="75" t="s">
        <v>3651</v>
      </c>
    </row>
    <row r="17" spans="1:7" x14ac:dyDescent="0.25">
      <c r="A17" s="74">
        <v>43822</v>
      </c>
      <c r="B17" s="75" t="s">
        <v>3601</v>
      </c>
      <c r="C17" s="75" t="s">
        <v>3629</v>
      </c>
      <c r="D17" s="75"/>
      <c r="E17" s="76" t="s">
        <v>3655</v>
      </c>
      <c r="F17" s="76" t="s">
        <v>3650</v>
      </c>
      <c r="G17" s="75" t="s">
        <v>3651</v>
      </c>
    </row>
    <row r="18" spans="1:7" x14ac:dyDescent="0.25">
      <c r="A18" s="74">
        <v>43822</v>
      </c>
      <c r="B18" s="75" t="s">
        <v>3601</v>
      </c>
      <c r="C18" s="75" t="s">
        <v>3630</v>
      </c>
      <c r="D18" s="75"/>
      <c r="E18" s="76" t="s">
        <v>3649</v>
      </c>
      <c r="F18" s="76" t="s">
        <v>3650</v>
      </c>
      <c r="G18" s="75" t="s">
        <v>3651</v>
      </c>
    </row>
    <row r="19" spans="1:7" x14ac:dyDescent="0.25">
      <c r="A19" s="74">
        <v>43822</v>
      </c>
      <c r="B19" s="75" t="s">
        <v>3601</v>
      </c>
      <c r="C19" s="75" t="s">
        <v>3630</v>
      </c>
      <c r="D19" s="75"/>
      <c r="E19" s="76" t="s">
        <v>3652</v>
      </c>
      <c r="F19" s="76" t="s">
        <v>3650</v>
      </c>
      <c r="G19" s="75" t="s">
        <v>3651</v>
      </c>
    </row>
    <row r="20" spans="1:7" x14ac:dyDescent="0.25">
      <c r="A20" s="74">
        <v>43822</v>
      </c>
      <c r="B20" s="75" t="s">
        <v>3601</v>
      </c>
      <c r="C20" s="75" t="s">
        <v>3630</v>
      </c>
      <c r="D20" s="75"/>
      <c r="E20" s="76" t="s">
        <v>3653</v>
      </c>
      <c r="F20" s="76" t="s">
        <v>3650</v>
      </c>
      <c r="G20" s="75" t="s">
        <v>3651</v>
      </c>
    </row>
    <row r="21" spans="1:7" x14ac:dyDescent="0.25">
      <c r="A21" s="74">
        <v>43822</v>
      </c>
      <c r="B21" s="75" t="s">
        <v>3601</v>
      </c>
      <c r="C21" s="75" t="s">
        <v>3630</v>
      </c>
      <c r="D21" s="75"/>
      <c r="E21" s="76" t="s">
        <v>3654</v>
      </c>
      <c r="F21" s="76" t="s">
        <v>3650</v>
      </c>
      <c r="G21" s="75" t="s">
        <v>3651</v>
      </c>
    </row>
    <row r="22" spans="1:7" x14ac:dyDescent="0.25">
      <c r="A22" s="74">
        <v>43822</v>
      </c>
      <c r="B22" s="75" t="s">
        <v>3601</v>
      </c>
      <c r="C22" s="75" t="s">
        <v>3630</v>
      </c>
      <c r="D22" s="75"/>
      <c r="E22" s="76" t="s">
        <v>3655</v>
      </c>
      <c r="F22" s="76" t="s">
        <v>3650</v>
      </c>
      <c r="G22" s="75" t="s">
        <v>3651</v>
      </c>
    </row>
    <row r="23" spans="1:7" x14ac:dyDescent="0.25">
      <c r="A23" s="74">
        <v>43822</v>
      </c>
      <c r="B23" s="75" t="s">
        <v>3601</v>
      </c>
      <c r="C23" s="75" t="s">
        <v>3631</v>
      </c>
      <c r="D23" s="75"/>
      <c r="E23" s="76" t="s">
        <v>3649</v>
      </c>
      <c r="F23" s="76" t="s">
        <v>3650</v>
      </c>
      <c r="G23" s="75" t="s">
        <v>3651</v>
      </c>
    </row>
    <row r="24" spans="1:7" x14ac:dyDescent="0.25">
      <c r="A24" s="74">
        <v>43822</v>
      </c>
      <c r="B24" s="75" t="s">
        <v>3601</v>
      </c>
      <c r="C24" s="75" t="s">
        <v>3631</v>
      </c>
      <c r="D24" s="75"/>
      <c r="E24" s="76" t="s">
        <v>3652</v>
      </c>
      <c r="F24" s="76" t="s">
        <v>3650</v>
      </c>
      <c r="G24" s="75" t="s">
        <v>3651</v>
      </c>
    </row>
    <row r="25" spans="1:7" x14ac:dyDescent="0.25">
      <c r="A25" s="74">
        <v>43822</v>
      </c>
      <c r="B25" s="75" t="s">
        <v>3601</v>
      </c>
      <c r="C25" s="75" t="s">
        <v>3631</v>
      </c>
      <c r="D25" s="75"/>
      <c r="E25" s="76" t="s">
        <v>3653</v>
      </c>
      <c r="F25" s="76" t="s">
        <v>3650</v>
      </c>
      <c r="G25" s="75" t="s">
        <v>3651</v>
      </c>
    </row>
    <row r="26" spans="1:7" x14ac:dyDescent="0.25">
      <c r="A26" s="74">
        <v>43822</v>
      </c>
      <c r="B26" s="75" t="s">
        <v>3601</v>
      </c>
      <c r="C26" s="75" t="s">
        <v>3631</v>
      </c>
      <c r="D26" s="75"/>
      <c r="E26" s="76" t="s">
        <v>3654</v>
      </c>
      <c r="F26" s="76" t="s">
        <v>3650</v>
      </c>
      <c r="G26" s="75" t="s">
        <v>3651</v>
      </c>
    </row>
    <row r="27" spans="1:7" x14ac:dyDescent="0.25">
      <c r="A27" s="74">
        <v>43822</v>
      </c>
      <c r="B27" s="75" t="s">
        <v>3601</v>
      </c>
      <c r="C27" s="75" t="s">
        <v>3631</v>
      </c>
      <c r="D27" s="75"/>
      <c r="E27" s="76" t="s">
        <v>3655</v>
      </c>
      <c r="F27" s="76" t="s">
        <v>3650</v>
      </c>
      <c r="G27" s="75" t="s">
        <v>3651</v>
      </c>
    </row>
    <row r="28" spans="1:7" x14ac:dyDescent="0.25">
      <c r="A28" s="77">
        <v>43822</v>
      </c>
      <c r="B28" s="78" t="s">
        <v>3604</v>
      </c>
      <c r="C28" s="78" t="s">
        <v>3635</v>
      </c>
      <c r="D28" s="78"/>
      <c r="E28" s="79" t="s">
        <v>3649</v>
      </c>
      <c r="F28" s="79" t="s">
        <v>3650</v>
      </c>
      <c r="G28" s="75" t="s">
        <v>3651</v>
      </c>
    </row>
    <row r="29" spans="1:7" x14ac:dyDescent="0.25">
      <c r="A29" s="77">
        <v>43822</v>
      </c>
      <c r="B29" s="78" t="s">
        <v>3604</v>
      </c>
      <c r="C29" s="78" t="s">
        <v>3635</v>
      </c>
      <c r="D29" s="78"/>
      <c r="E29" s="79" t="s">
        <v>3652</v>
      </c>
      <c r="F29" s="79" t="s">
        <v>3650</v>
      </c>
      <c r="G29" s="75" t="s">
        <v>3651</v>
      </c>
    </row>
    <row r="30" spans="1:7" x14ac:dyDescent="0.25">
      <c r="A30" s="77">
        <v>43822</v>
      </c>
      <c r="B30" s="78" t="s">
        <v>3604</v>
      </c>
      <c r="C30" s="78" t="s">
        <v>3635</v>
      </c>
      <c r="D30" s="78"/>
      <c r="E30" s="79" t="s">
        <v>3653</v>
      </c>
      <c r="F30" s="79" t="s">
        <v>3650</v>
      </c>
      <c r="G30" s="75" t="s">
        <v>3651</v>
      </c>
    </row>
    <row r="31" spans="1:7" x14ac:dyDescent="0.25">
      <c r="A31" s="77">
        <v>43822</v>
      </c>
      <c r="B31" s="78" t="s">
        <v>3604</v>
      </c>
      <c r="C31" s="78" t="s">
        <v>3635</v>
      </c>
      <c r="D31" s="78"/>
      <c r="E31" s="79" t="s">
        <v>3654</v>
      </c>
      <c r="F31" s="79" t="s">
        <v>3650</v>
      </c>
      <c r="G31" s="75" t="s">
        <v>3651</v>
      </c>
    </row>
    <row r="32" spans="1:7" x14ac:dyDescent="0.25">
      <c r="A32" s="77">
        <v>43822</v>
      </c>
      <c r="B32" s="78" t="s">
        <v>3604</v>
      </c>
      <c r="C32" s="78" t="s">
        <v>3635</v>
      </c>
      <c r="D32" s="78"/>
      <c r="E32" s="79" t="s">
        <v>3655</v>
      </c>
      <c r="F32" s="79" t="s">
        <v>3650</v>
      </c>
      <c r="G32" s="75" t="s">
        <v>3651</v>
      </c>
    </row>
    <row r="33" spans="1:7" x14ac:dyDescent="0.25">
      <c r="A33" s="70"/>
      <c r="B33" s="71"/>
      <c r="C33" s="71"/>
      <c r="D33" s="72"/>
      <c r="E33" s="72" t="s">
        <v>3656</v>
      </c>
      <c r="F33" s="73"/>
      <c r="G33" s="72"/>
    </row>
    <row r="34" spans="1:7" x14ac:dyDescent="0.25">
      <c r="A34" s="77">
        <v>43832</v>
      </c>
      <c r="B34" s="78" t="s">
        <v>3657</v>
      </c>
      <c r="C34" s="78" t="s">
        <v>3658</v>
      </c>
      <c r="D34" s="78"/>
      <c r="E34" s="79" t="s">
        <v>3659</v>
      </c>
      <c r="F34" s="79" t="s">
        <v>3660</v>
      </c>
      <c r="G34" s="75" t="s">
        <v>3661</v>
      </c>
    </row>
    <row r="35" spans="1:7" x14ac:dyDescent="0.25">
      <c r="A35" s="77"/>
      <c r="B35" s="78"/>
      <c r="C35" s="78"/>
      <c r="D35" s="78"/>
      <c r="E35" s="79"/>
      <c r="F35" s="79"/>
      <c r="G35" s="75"/>
    </row>
    <row r="36" spans="1:7" x14ac:dyDescent="0.25">
      <c r="A36" s="77"/>
      <c r="B36" s="78"/>
      <c r="C36" s="78"/>
      <c r="D36" s="78"/>
      <c r="E36" s="79"/>
      <c r="F36" s="79"/>
      <c r="G36" s="75"/>
    </row>
    <row r="37" spans="1:7" x14ac:dyDescent="0.25">
      <c r="A37" s="77"/>
      <c r="B37" s="78"/>
      <c r="C37" s="78"/>
      <c r="D37" s="78"/>
      <c r="E37" s="79"/>
      <c r="F37" s="79"/>
      <c r="G37" s="75"/>
    </row>
    <row r="38" spans="1:7" x14ac:dyDescent="0.25">
      <c r="A38" s="77"/>
      <c r="B38" s="78"/>
      <c r="C38" s="78"/>
      <c r="D38" s="78"/>
      <c r="E38" s="79"/>
      <c r="F38" s="79"/>
      <c r="G38" s="75"/>
    </row>
    <row r="39" spans="1:7" x14ac:dyDescent="0.25">
      <c r="A39" s="77"/>
      <c r="B39" s="78"/>
      <c r="C39" s="78"/>
      <c r="D39" s="78"/>
      <c r="E39" s="79"/>
      <c r="F39" s="79"/>
      <c r="G39" s="75"/>
    </row>
    <row r="40" spans="1:7" x14ac:dyDescent="0.25">
      <c r="A40" s="77"/>
      <c r="B40" s="78"/>
      <c r="C40" s="78"/>
      <c r="D40" s="78"/>
      <c r="E40" s="79"/>
      <c r="F40" s="79"/>
      <c r="G40" s="75"/>
    </row>
    <row r="41" spans="1:7" x14ac:dyDescent="0.25">
      <c r="A41" s="77"/>
      <c r="B41" s="78"/>
      <c r="C41" s="78"/>
      <c r="D41" s="78"/>
      <c r="E41" s="79"/>
      <c r="F41" s="79"/>
      <c r="G41" s="75"/>
    </row>
    <row r="42" spans="1:7" x14ac:dyDescent="0.25">
      <c r="A42" s="77"/>
      <c r="B42" s="78"/>
      <c r="C42" s="78"/>
      <c r="D42" s="78"/>
      <c r="E42" s="79"/>
      <c r="F42" s="79"/>
      <c r="G42" s="75"/>
    </row>
    <row r="43" spans="1:7" x14ac:dyDescent="0.25">
      <c r="A43" s="77"/>
      <c r="B43" s="78"/>
      <c r="C43" s="78"/>
      <c r="D43" s="78"/>
      <c r="E43" s="79"/>
      <c r="F43" s="79"/>
      <c r="G43" s="75"/>
    </row>
    <row r="44" spans="1:7" x14ac:dyDescent="0.25">
      <c r="A44" s="77"/>
      <c r="B44" s="78"/>
      <c r="C44" s="78"/>
      <c r="D44" s="78"/>
      <c r="E44" s="79"/>
      <c r="F44" s="79"/>
      <c r="G44" s="75"/>
    </row>
    <row r="45" spans="1:7" x14ac:dyDescent="0.25">
      <c r="A45" s="77"/>
      <c r="B45" s="78"/>
      <c r="C45" s="78"/>
      <c r="D45" s="78"/>
      <c r="E45" s="79"/>
      <c r="F45" s="79"/>
      <c r="G45" s="75"/>
    </row>
    <row r="46" spans="1:7" x14ac:dyDescent="0.25">
      <c r="A46" s="77"/>
      <c r="B46" s="78"/>
      <c r="C46" s="78"/>
      <c r="D46" s="78"/>
      <c r="E46" s="79"/>
      <c r="F46" s="79"/>
      <c r="G46" s="75"/>
    </row>
    <row r="47" spans="1:7" x14ac:dyDescent="0.25">
      <c r="A47" s="77"/>
      <c r="B47" s="78"/>
      <c r="C47" s="78"/>
      <c r="D47" s="78"/>
      <c r="E47" s="79"/>
      <c r="F47" s="79"/>
      <c r="G47" s="75"/>
    </row>
    <row r="48" spans="1:7" x14ac:dyDescent="0.25">
      <c r="A48" s="77"/>
      <c r="B48" s="78"/>
      <c r="C48" s="78"/>
      <c r="D48" s="78"/>
      <c r="E48" s="79"/>
      <c r="F48" s="79"/>
      <c r="G48" s="75"/>
    </row>
    <row r="49" spans="1:7" x14ac:dyDescent="0.25">
      <c r="A49" s="77"/>
      <c r="B49" s="78"/>
      <c r="C49" s="78"/>
      <c r="D49" s="78"/>
      <c r="E49" s="79"/>
      <c r="F49" s="79"/>
      <c r="G49" s="78"/>
    </row>
    <row r="50" spans="1:7" x14ac:dyDescent="0.25">
      <c r="A50" s="77"/>
      <c r="B50" s="78"/>
      <c r="C50" s="78"/>
      <c r="D50" s="78"/>
      <c r="E50" s="79"/>
      <c r="F50" s="79"/>
      <c r="G50" s="78"/>
    </row>
    <row r="51" spans="1:7" x14ac:dyDescent="0.25">
      <c r="A51" s="77"/>
      <c r="B51" s="78"/>
      <c r="C51" s="78"/>
      <c r="D51" s="78"/>
      <c r="E51" s="79"/>
      <c r="F51" s="79"/>
      <c r="G51" s="78"/>
    </row>
    <row r="52" spans="1:7" x14ac:dyDescent="0.25">
      <c r="A52" s="77"/>
      <c r="B52" s="78"/>
      <c r="C52" s="78"/>
      <c r="D52" s="78"/>
      <c r="E52" s="79"/>
      <c r="F52" s="79"/>
      <c r="G52" s="78"/>
    </row>
    <row r="53" spans="1:7" x14ac:dyDescent="0.25">
      <c r="A53" s="77"/>
      <c r="B53" s="78"/>
      <c r="C53" s="78"/>
      <c r="D53" s="78"/>
      <c r="E53" s="79"/>
      <c r="F53" s="79"/>
      <c r="G53" s="78"/>
    </row>
    <row r="54" spans="1:7" x14ac:dyDescent="0.25">
      <c r="A54" s="77"/>
      <c r="B54" s="78"/>
      <c r="C54" s="78"/>
      <c r="D54" s="78"/>
      <c r="E54" s="79"/>
      <c r="F54" s="79"/>
      <c r="G54" s="78"/>
    </row>
    <row r="55" spans="1:7" x14ac:dyDescent="0.25">
      <c r="A55" s="77"/>
      <c r="B55" s="78"/>
      <c r="C55" s="78"/>
      <c r="D55" s="75"/>
      <c r="E55" s="79"/>
      <c r="F55" s="79"/>
      <c r="G55" s="78"/>
    </row>
    <row r="56" spans="1:7" x14ac:dyDescent="0.25">
      <c r="A56" s="77"/>
      <c r="B56" s="78"/>
      <c r="C56" s="78"/>
      <c r="D56" s="75"/>
      <c r="E56" s="79"/>
      <c r="F56" s="79"/>
      <c r="G56" s="78"/>
    </row>
    <row r="57" spans="1:7" x14ac:dyDescent="0.25">
      <c r="A57" s="77"/>
      <c r="B57" s="78"/>
      <c r="C57" s="78"/>
      <c r="D57" s="80"/>
      <c r="E57" s="79"/>
      <c r="F57" s="79"/>
      <c r="G57" s="78"/>
    </row>
    <row r="58" spans="1:7" x14ac:dyDescent="0.25">
      <c r="A58" s="77"/>
      <c r="B58" s="78"/>
      <c r="C58" s="78"/>
      <c r="D58" s="80"/>
      <c r="E58" s="79"/>
      <c r="F58" s="79"/>
      <c r="G58" s="78"/>
    </row>
    <row r="59" spans="1:7" x14ac:dyDescent="0.25">
      <c r="A59" s="77"/>
      <c r="B59" s="78"/>
      <c r="C59" s="78"/>
      <c r="D59" s="80"/>
      <c r="E59" s="79"/>
      <c r="F59" s="79"/>
      <c r="G59" s="78"/>
    </row>
    <row r="60" spans="1:7" x14ac:dyDescent="0.25">
      <c r="A60" s="77"/>
      <c r="B60" s="78"/>
      <c r="C60" s="78"/>
      <c r="D60" s="80"/>
      <c r="E60" s="79"/>
      <c r="F60" s="79"/>
      <c r="G60" s="78"/>
    </row>
    <row r="61" spans="1:7" x14ac:dyDescent="0.25">
      <c r="A61" s="77"/>
      <c r="B61" s="78"/>
      <c r="C61" s="78"/>
      <c r="D61" s="80"/>
      <c r="E61" s="79"/>
      <c r="F61" s="79"/>
      <c r="G61" s="78"/>
    </row>
    <row r="62" spans="1:7" x14ac:dyDescent="0.25">
      <c r="A62" s="77"/>
      <c r="B62" s="78"/>
      <c r="C62" s="78"/>
      <c r="D62" s="80"/>
      <c r="E62" s="79"/>
      <c r="F62" s="79"/>
      <c r="G62" s="78"/>
    </row>
    <row r="63" spans="1:7" x14ac:dyDescent="0.25">
      <c r="A63" s="77"/>
      <c r="B63" s="78"/>
      <c r="C63" s="78"/>
      <c r="D63" s="80"/>
      <c r="E63" s="79"/>
      <c r="F63" s="79"/>
      <c r="G63" s="78"/>
    </row>
    <row r="64" spans="1:7" x14ac:dyDescent="0.25">
      <c r="A64" s="77"/>
      <c r="B64" s="78"/>
      <c r="C64" s="78"/>
      <c r="D64" s="80"/>
      <c r="E64" s="79"/>
      <c r="F64" s="79"/>
      <c r="G64" s="78"/>
    </row>
    <row r="65" spans="1:7" x14ac:dyDescent="0.25">
      <c r="A65" s="77"/>
      <c r="B65" s="78"/>
      <c r="C65" s="78"/>
      <c r="D65" s="80"/>
      <c r="E65" s="79"/>
      <c r="F65" s="79"/>
      <c r="G65" s="78"/>
    </row>
    <row r="66" spans="1:7" x14ac:dyDescent="0.25">
      <c r="A66" s="77"/>
      <c r="B66" s="78"/>
      <c r="C66" s="78"/>
      <c r="D66" s="80"/>
      <c r="E66" s="79"/>
      <c r="F66" s="79"/>
      <c r="G66" s="78"/>
    </row>
    <row r="67" spans="1:7" x14ac:dyDescent="0.25">
      <c r="A67" s="77"/>
      <c r="B67" s="78"/>
      <c r="C67" s="78"/>
      <c r="D67" s="80"/>
      <c r="E67" s="79"/>
      <c r="F67" s="79"/>
      <c r="G67" s="78"/>
    </row>
    <row r="68" spans="1:7" x14ac:dyDescent="0.25">
      <c r="A68" s="77"/>
      <c r="B68" s="78"/>
      <c r="C68" s="78"/>
      <c r="D68" s="78"/>
      <c r="E68" s="79"/>
      <c r="F68" s="79"/>
      <c r="G68" s="81"/>
    </row>
  </sheetData>
  <phoneticPr fontId="1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6"/>
  <sheetViews>
    <sheetView workbookViewId="0">
      <selection activeCell="C37" sqref="C37"/>
    </sheetView>
  </sheetViews>
  <sheetFormatPr defaultRowHeight="13.5" x14ac:dyDescent="0.15"/>
  <cols>
    <col min="1" max="1" width="12.875" style="3" customWidth="1"/>
    <col min="2" max="2" width="12.875" style="11" customWidth="1"/>
    <col min="3" max="3" width="24" style="3" customWidth="1"/>
    <col min="4" max="6" width="14.625" style="3" customWidth="1"/>
    <col min="7" max="7" width="53.125" style="3" customWidth="1"/>
    <col min="8" max="8" width="13.875" style="3" customWidth="1"/>
    <col min="9" max="9" width="18.125" style="3" customWidth="1"/>
    <col min="10" max="10" width="14.375" style="3" customWidth="1"/>
  </cols>
  <sheetData>
    <row r="1" spans="1:11" ht="15.75" customHeight="1" x14ac:dyDescent="0.15">
      <c r="A1" s="9"/>
      <c r="B1" s="9"/>
      <c r="C1" s="9"/>
      <c r="D1" s="1"/>
      <c r="E1" s="1"/>
      <c r="F1" s="1"/>
      <c r="G1" s="1"/>
      <c r="H1" s="1"/>
      <c r="I1" s="1"/>
      <c r="J1" s="1"/>
      <c r="K1" s="5"/>
    </row>
    <row r="2" spans="1:11" ht="24" x14ac:dyDescent="0.15">
      <c r="A2" s="10" t="s">
        <v>0</v>
      </c>
      <c r="B2" s="10" t="s">
        <v>115</v>
      </c>
      <c r="C2" s="2" t="s">
        <v>2</v>
      </c>
      <c r="D2" s="10" t="s">
        <v>3</v>
      </c>
      <c r="E2" s="10" t="s">
        <v>54</v>
      </c>
      <c r="F2" s="10" t="s">
        <v>52</v>
      </c>
      <c r="G2" s="10" t="s">
        <v>116</v>
      </c>
      <c r="H2" s="2" t="s">
        <v>110</v>
      </c>
      <c r="I2" s="2" t="s">
        <v>111</v>
      </c>
      <c r="J2" s="2" t="s">
        <v>112</v>
      </c>
      <c r="K2" s="5"/>
    </row>
    <row r="3" spans="1:11" ht="15" customHeight="1" x14ac:dyDescent="0.15">
      <c r="A3" s="91" t="s">
        <v>7</v>
      </c>
      <c r="B3" s="92"/>
      <c r="C3" s="92"/>
      <c r="D3" s="92"/>
      <c r="E3" s="92"/>
      <c r="F3" s="92"/>
      <c r="G3" s="92"/>
      <c r="H3" s="92"/>
      <c r="I3" s="92"/>
      <c r="J3" s="93"/>
      <c r="K3" s="5"/>
    </row>
    <row r="6" spans="1:11" x14ac:dyDescent="0.15">
      <c r="D6" s="12"/>
    </row>
  </sheetData>
  <mergeCells count="1">
    <mergeCell ref="A3:J3"/>
  </mergeCells>
  <phoneticPr fontId="1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6"/>
  <sheetViews>
    <sheetView workbookViewId="0"/>
  </sheetViews>
  <sheetFormatPr defaultRowHeight="13.5" x14ac:dyDescent="0.15"/>
  <cols>
    <col min="12" max="12" width="19.625" customWidth="1"/>
  </cols>
  <sheetData>
    <row r="1" spans="1:12" x14ac:dyDescent="0.15">
      <c r="A1" s="4" t="s">
        <v>24</v>
      </c>
    </row>
    <row r="2" spans="1:12" x14ac:dyDescent="0.15">
      <c r="A2" s="5" t="s">
        <v>102</v>
      </c>
    </row>
    <row r="3" spans="1:12" x14ac:dyDescent="0.15">
      <c r="A3" s="5" t="s">
        <v>108</v>
      </c>
    </row>
    <row r="4" spans="1:12" x14ac:dyDescent="0.15">
      <c r="A4" s="94" t="s">
        <v>25</v>
      </c>
      <c r="B4" s="94"/>
      <c r="C4" s="94"/>
      <c r="D4" s="94"/>
      <c r="E4" s="94"/>
      <c r="F4" s="94"/>
      <c r="G4" s="94"/>
      <c r="H4" s="94"/>
      <c r="I4" s="94"/>
      <c r="J4" s="94"/>
      <c r="K4" s="94"/>
      <c r="L4" s="94"/>
    </row>
    <row r="5" spans="1:12" x14ac:dyDescent="0.15">
      <c r="A5" s="5" t="s">
        <v>104</v>
      </c>
    </row>
    <row r="6" spans="1:12" x14ac:dyDescent="0.15">
      <c r="A6" s="5" t="s">
        <v>105</v>
      </c>
    </row>
    <row r="7" spans="1:12" x14ac:dyDescent="0.15">
      <c r="A7" s="5" t="s">
        <v>106</v>
      </c>
    </row>
    <row r="8" spans="1:12" x14ac:dyDescent="0.15">
      <c r="A8" s="5" t="s">
        <v>107</v>
      </c>
    </row>
    <row r="9" spans="1:12" x14ac:dyDescent="0.15">
      <c r="A9" s="5" t="s">
        <v>26</v>
      </c>
    </row>
    <row r="10" spans="1:12" x14ac:dyDescent="0.15">
      <c r="A10" s="5" t="s">
        <v>27</v>
      </c>
    </row>
    <row r="11" spans="1:12" x14ac:dyDescent="0.15">
      <c r="A11" s="5" t="s">
        <v>28</v>
      </c>
    </row>
    <row r="12" spans="1:12" x14ac:dyDescent="0.15">
      <c r="A12" s="5"/>
    </row>
    <row r="13" spans="1:12" x14ac:dyDescent="0.15">
      <c r="A13" s="5"/>
    </row>
    <row r="14" spans="1:12" x14ac:dyDescent="0.15">
      <c r="A14" s="5" t="s">
        <v>103</v>
      </c>
    </row>
    <row r="15" spans="1:12" x14ac:dyDescent="0.15">
      <c r="A15" s="94" t="s">
        <v>29</v>
      </c>
      <c r="B15" s="94"/>
      <c r="C15" s="94"/>
      <c r="D15" s="94"/>
      <c r="E15" s="94"/>
      <c r="F15" s="94"/>
      <c r="G15" s="94"/>
      <c r="H15" s="94"/>
      <c r="I15" s="94"/>
      <c r="J15" s="94"/>
      <c r="K15" s="94"/>
      <c r="L15" s="94"/>
    </row>
    <row r="16" spans="1:12" x14ac:dyDescent="0.15">
      <c r="A16" s="5"/>
    </row>
  </sheetData>
  <mergeCells count="2">
    <mergeCell ref="A15:L15"/>
    <mergeCell ref="A4:L4"/>
  </mergeCells>
  <phoneticPr fontId="12" type="noConversion"/>
  <hyperlinks>
    <hyperlink ref="A15" r:id="rId1"/>
    <hyperlink ref="A4"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563"/>
  <sheetViews>
    <sheetView workbookViewId="0">
      <selection activeCell="H1" sqref="H1"/>
    </sheetView>
  </sheetViews>
  <sheetFormatPr defaultColWidth="9.125" defaultRowHeight="13.5" x14ac:dyDescent="0.15"/>
  <sheetData>
    <row r="1" spans="1:11" x14ac:dyDescent="0.15">
      <c r="A1" t="s">
        <v>979</v>
      </c>
      <c r="B1" t="s">
        <v>980</v>
      </c>
      <c r="C1" t="s">
        <v>981</v>
      </c>
      <c r="D1" t="s">
        <v>982</v>
      </c>
      <c r="E1" t="s">
        <v>983</v>
      </c>
      <c r="F1" t="s">
        <v>116</v>
      </c>
      <c r="G1" t="s">
        <v>984</v>
      </c>
      <c r="H1" t="s">
        <v>985</v>
      </c>
      <c r="I1" t="s">
        <v>986</v>
      </c>
      <c r="J1" t="s">
        <v>987</v>
      </c>
      <c r="K1" t="s">
        <v>988</v>
      </c>
    </row>
    <row r="2" spans="1:11" x14ac:dyDescent="0.15">
      <c r="A2" t="s">
        <v>989</v>
      </c>
      <c r="B2" t="s">
        <v>990</v>
      </c>
      <c r="D2" t="s">
        <v>991</v>
      </c>
      <c r="E2" t="s">
        <v>992</v>
      </c>
      <c r="F2" t="s">
        <v>993</v>
      </c>
      <c r="G2" t="s">
        <v>994</v>
      </c>
      <c r="H2" t="s">
        <v>995</v>
      </c>
      <c r="I2" t="s">
        <v>996</v>
      </c>
      <c r="J2" t="s">
        <v>997</v>
      </c>
      <c r="K2" t="s">
        <v>998</v>
      </c>
    </row>
    <row r="3" spans="1:11" x14ac:dyDescent="0.15">
      <c r="A3" t="s">
        <v>989</v>
      </c>
      <c r="B3" t="s">
        <v>990</v>
      </c>
      <c r="D3" t="s">
        <v>991</v>
      </c>
      <c r="E3" t="s">
        <v>999</v>
      </c>
      <c r="F3" t="s">
        <v>1000</v>
      </c>
      <c r="G3" t="s">
        <v>1001</v>
      </c>
      <c r="H3" t="s">
        <v>1002</v>
      </c>
      <c r="I3" t="s">
        <v>996</v>
      </c>
      <c r="J3" t="s">
        <v>997</v>
      </c>
      <c r="K3" t="s">
        <v>998</v>
      </c>
    </row>
    <row r="4" spans="1:11" x14ac:dyDescent="0.15">
      <c r="A4" t="s">
        <v>989</v>
      </c>
      <c r="B4" t="s">
        <v>990</v>
      </c>
      <c r="D4" t="s">
        <v>991</v>
      </c>
      <c r="E4" t="s">
        <v>1003</v>
      </c>
      <c r="F4" t="s">
        <v>1004</v>
      </c>
      <c r="G4" t="s">
        <v>1005</v>
      </c>
      <c r="H4" t="s">
        <v>1006</v>
      </c>
      <c r="I4" t="s">
        <v>996</v>
      </c>
      <c r="J4" t="s">
        <v>997</v>
      </c>
      <c r="K4" t="s">
        <v>998</v>
      </c>
    </row>
    <row r="5" spans="1:11" x14ac:dyDescent="0.15">
      <c r="A5" t="s">
        <v>989</v>
      </c>
      <c r="B5" t="s">
        <v>990</v>
      </c>
      <c r="D5" t="s">
        <v>991</v>
      </c>
      <c r="E5" t="s">
        <v>1007</v>
      </c>
      <c r="F5" t="s">
        <v>1008</v>
      </c>
      <c r="G5" t="s">
        <v>1009</v>
      </c>
      <c r="H5" t="s">
        <v>1010</v>
      </c>
      <c r="I5" t="s">
        <v>996</v>
      </c>
      <c r="J5" t="s">
        <v>997</v>
      </c>
      <c r="K5" t="s">
        <v>998</v>
      </c>
    </row>
    <row r="6" spans="1:11" x14ac:dyDescent="0.15">
      <c r="A6" t="s">
        <v>989</v>
      </c>
      <c r="B6" t="s">
        <v>990</v>
      </c>
      <c r="D6" t="s">
        <v>991</v>
      </c>
      <c r="E6" t="s">
        <v>1011</v>
      </c>
      <c r="F6" t="s">
        <v>1012</v>
      </c>
      <c r="G6" t="s">
        <v>1013</v>
      </c>
      <c r="H6" t="s">
        <v>1014</v>
      </c>
      <c r="I6" t="s">
        <v>996</v>
      </c>
      <c r="J6" t="s">
        <v>997</v>
      </c>
      <c r="K6" t="s">
        <v>998</v>
      </c>
    </row>
    <row r="7" spans="1:11" x14ac:dyDescent="0.15">
      <c r="A7" t="s">
        <v>989</v>
      </c>
      <c r="B7" t="s">
        <v>990</v>
      </c>
      <c r="D7" t="s">
        <v>991</v>
      </c>
      <c r="E7" t="s">
        <v>1015</v>
      </c>
      <c r="F7" t="s">
        <v>1016</v>
      </c>
      <c r="G7" t="s">
        <v>1017</v>
      </c>
      <c r="H7" t="s">
        <v>1018</v>
      </c>
      <c r="I7" t="s">
        <v>996</v>
      </c>
      <c r="J7" t="s">
        <v>997</v>
      </c>
      <c r="K7" t="s">
        <v>998</v>
      </c>
    </row>
    <row r="8" spans="1:11" x14ac:dyDescent="0.15">
      <c r="A8" t="s">
        <v>989</v>
      </c>
      <c r="B8" t="s">
        <v>990</v>
      </c>
      <c r="D8" t="s">
        <v>991</v>
      </c>
      <c r="E8" t="s">
        <v>1019</v>
      </c>
      <c r="F8" t="s">
        <v>1020</v>
      </c>
      <c r="G8" t="s">
        <v>1021</v>
      </c>
      <c r="H8" t="s">
        <v>1022</v>
      </c>
      <c r="I8" t="s">
        <v>996</v>
      </c>
      <c r="J8" t="s">
        <v>997</v>
      </c>
      <c r="K8" t="s">
        <v>998</v>
      </c>
    </row>
    <row r="9" spans="1:11" x14ac:dyDescent="0.15">
      <c r="A9" t="s">
        <v>1023</v>
      </c>
      <c r="B9" t="s">
        <v>1024</v>
      </c>
      <c r="C9" t="s">
        <v>1025</v>
      </c>
      <c r="D9" t="s">
        <v>991</v>
      </c>
      <c r="E9" t="s">
        <v>1026</v>
      </c>
      <c r="F9" t="s">
        <v>1027</v>
      </c>
      <c r="G9" t="s">
        <v>1028</v>
      </c>
      <c r="H9" t="s">
        <v>1029</v>
      </c>
      <c r="I9" t="s">
        <v>996</v>
      </c>
      <c r="J9" t="s">
        <v>997</v>
      </c>
      <c r="K9" t="s">
        <v>998</v>
      </c>
    </row>
    <row r="10" spans="1:11" x14ac:dyDescent="0.15">
      <c r="A10" t="s">
        <v>1030</v>
      </c>
      <c r="B10" t="s">
        <v>1031</v>
      </c>
      <c r="D10" t="s">
        <v>991</v>
      </c>
      <c r="E10" t="s">
        <v>1032</v>
      </c>
      <c r="F10" t="s">
        <v>1033</v>
      </c>
      <c r="G10" t="s">
        <v>1034</v>
      </c>
      <c r="H10" t="s">
        <v>1035</v>
      </c>
      <c r="I10" t="s">
        <v>996</v>
      </c>
      <c r="J10" t="s">
        <v>997</v>
      </c>
      <c r="K10" t="s">
        <v>998</v>
      </c>
    </row>
    <row r="11" spans="1:11" x14ac:dyDescent="0.15">
      <c r="A11" t="s">
        <v>1036</v>
      </c>
      <c r="B11" t="s">
        <v>1037</v>
      </c>
      <c r="C11" t="s">
        <v>1038</v>
      </c>
      <c r="D11" t="s">
        <v>991</v>
      </c>
      <c r="E11" t="s">
        <v>1039</v>
      </c>
      <c r="F11" t="s">
        <v>1040</v>
      </c>
      <c r="G11" t="s">
        <v>1041</v>
      </c>
      <c r="H11" t="s">
        <v>1042</v>
      </c>
      <c r="I11" t="s">
        <v>996</v>
      </c>
      <c r="J11" t="s">
        <v>997</v>
      </c>
      <c r="K11" t="s">
        <v>998</v>
      </c>
    </row>
    <row r="12" spans="1:11" x14ac:dyDescent="0.15">
      <c r="A12" t="s">
        <v>1036</v>
      </c>
      <c r="B12" t="s">
        <v>1037</v>
      </c>
      <c r="C12" t="s">
        <v>1038</v>
      </c>
      <c r="D12" t="s">
        <v>991</v>
      </c>
      <c r="E12" t="s">
        <v>1043</v>
      </c>
      <c r="F12" t="s">
        <v>1044</v>
      </c>
      <c r="G12" t="s">
        <v>1045</v>
      </c>
      <c r="H12" t="s">
        <v>1046</v>
      </c>
      <c r="I12" t="s">
        <v>996</v>
      </c>
      <c r="J12" t="s">
        <v>997</v>
      </c>
      <c r="K12" t="s">
        <v>998</v>
      </c>
    </row>
    <row r="13" spans="1:11" x14ac:dyDescent="0.15">
      <c r="A13" t="s">
        <v>1047</v>
      </c>
      <c r="B13" t="s">
        <v>1048</v>
      </c>
      <c r="D13" t="s">
        <v>991</v>
      </c>
      <c r="E13" t="s">
        <v>1049</v>
      </c>
      <c r="F13" t="s">
        <v>1050</v>
      </c>
      <c r="G13" t="s">
        <v>1051</v>
      </c>
      <c r="H13" t="s">
        <v>1052</v>
      </c>
      <c r="I13" t="s">
        <v>996</v>
      </c>
      <c r="J13" t="s">
        <v>997</v>
      </c>
      <c r="K13" t="s">
        <v>998</v>
      </c>
    </row>
    <row r="14" spans="1:11" x14ac:dyDescent="0.15">
      <c r="A14" t="s">
        <v>1053</v>
      </c>
      <c r="B14" t="s">
        <v>1054</v>
      </c>
      <c r="D14" t="s">
        <v>991</v>
      </c>
      <c r="E14" t="s">
        <v>1055</v>
      </c>
      <c r="F14" t="s">
        <v>1054</v>
      </c>
      <c r="G14" t="s">
        <v>1056</v>
      </c>
      <c r="H14" t="s">
        <v>1057</v>
      </c>
      <c r="I14" t="s">
        <v>996</v>
      </c>
      <c r="J14" t="s">
        <v>997</v>
      </c>
      <c r="K14" t="s">
        <v>998</v>
      </c>
    </row>
    <row r="15" spans="1:11" x14ac:dyDescent="0.15">
      <c r="A15" t="s">
        <v>1058</v>
      </c>
      <c r="B15" t="s">
        <v>1059</v>
      </c>
      <c r="D15" t="s">
        <v>991</v>
      </c>
      <c r="E15" t="s">
        <v>1060</v>
      </c>
      <c r="F15" t="s">
        <v>1059</v>
      </c>
      <c r="G15" t="s">
        <v>1061</v>
      </c>
      <c r="H15" t="s">
        <v>1062</v>
      </c>
      <c r="I15" t="s">
        <v>996</v>
      </c>
      <c r="J15" t="s">
        <v>997</v>
      </c>
      <c r="K15" t="s">
        <v>998</v>
      </c>
    </row>
    <row r="16" spans="1:11" x14ac:dyDescent="0.15">
      <c r="A16" t="s">
        <v>1063</v>
      </c>
      <c r="B16" t="s">
        <v>1064</v>
      </c>
      <c r="C16" t="s">
        <v>1065</v>
      </c>
      <c r="D16" t="s">
        <v>991</v>
      </c>
      <c r="E16" t="s">
        <v>1066</v>
      </c>
      <c r="F16" t="s">
        <v>1067</v>
      </c>
      <c r="G16" t="s">
        <v>1068</v>
      </c>
      <c r="H16" t="s">
        <v>1069</v>
      </c>
      <c r="I16" t="s">
        <v>996</v>
      </c>
      <c r="J16" t="s">
        <v>997</v>
      </c>
      <c r="K16" t="s">
        <v>998</v>
      </c>
    </row>
    <row r="17" spans="1:11" x14ac:dyDescent="0.15">
      <c r="A17" t="s">
        <v>1063</v>
      </c>
      <c r="B17" t="s">
        <v>1064</v>
      </c>
      <c r="C17" t="s">
        <v>1065</v>
      </c>
      <c r="D17" t="s">
        <v>991</v>
      </c>
      <c r="E17" t="s">
        <v>1070</v>
      </c>
      <c r="F17" t="s">
        <v>1071</v>
      </c>
      <c r="G17" t="s">
        <v>1072</v>
      </c>
      <c r="H17" t="s">
        <v>1073</v>
      </c>
      <c r="I17" t="s">
        <v>996</v>
      </c>
      <c r="J17" t="s">
        <v>997</v>
      </c>
      <c r="K17" t="s">
        <v>998</v>
      </c>
    </row>
    <row r="18" spans="1:11" x14ac:dyDescent="0.15">
      <c r="A18" t="s">
        <v>1074</v>
      </c>
      <c r="B18" t="s">
        <v>71</v>
      </c>
      <c r="C18" t="s">
        <v>1075</v>
      </c>
      <c r="D18" t="s">
        <v>991</v>
      </c>
      <c r="E18" t="s">
        <v>1076</v>
      </c>
      <c r="F18" t="s">
        <v>525</v>
      </c>
      <c r="G18" t="s">
        <v>1077</v>
      </c>
      <c r="H18" t="s">
        <v>1078</v>
      </c>
      <c r="I18" t="s">
        <v>996</v>
      </c>
      <c r="J18" t="s">
        <v>997</v>
      </c>
      <c r="K18" t="s">
        <v>998</v>
      </c>
    </row>
    <row r="19" spans="1:11" x14ac:dyDescent="0.15">
      <c r="A19" t="s">
        <v>1079</v>
      </c>
      <c r="B19" t="s">
        <v>1080</v>
      </c>
      <c r="D19" t="s">
        <v>991</v>
      </c>
      <c r="E19" t="s">
        <v>1081</v>
      </c>
      <c r="F19" t="s">
        <v>1082</v>
      </c>
      <c r="G19" t="s">
        <v>1083</v>
      </c>
      <c r="H19" t="s">
        <v>1084</v>
      </c>
      <c r="I19" t="s">
        <v>996</v>
      </c>
      <c r="J19" t="s">
        <v>997</v>
      </c>
      <c r="K19" t="s">
        <v>998</v>
      </c>
    </row>
    <row r="20" spans="1:11" x14ac:dyDescent="0.15">
      <c r="A20" t="s">
        <v>1085</v>
      </c>
      <c r="B20" t="s">
        <v>1086</v>
      </c>
      <c r="C20" t="s">
        <v>1087</v>
      </c>
      <c r="D20" t="s">
        <v>991</v>
      </c>
      <c r="E20" t="s">
        <v>1088</v>
      </c>
      <c r="F20" t="s">
        <v>1089</v>
      </c>
      <c r="G20" t="s">
        <v>1090</v>
      </c>
      <c r="H20" t="s">
        <v>1091</v>
      </c>
      <c r="I20" t="s">
        <v>996</v>
      </c>
      <c r="J20" t="s">
        <v>997</v>
      </c>
      <c r="K20" t="s">
        <v>998</v>
      </c>
    </row>
    <row r="21" spans="1:11" x14ac:dyDescent="0.15">
      <c r="A21" t="s">
        <v>1092</v>
      </c>
      <c r="B21" t="s">
        <v>1093</v>
      </c>
      <c r="C21" t="s">
        <v>1094</v>
      </c>
      <c r="D21" t="s">
        <v>991</v>
      </c>
      <c r="E21" t="s">
        <v>1095</v>
      </c>
      <c r="F21" t="s">
        <v>612</v>
      </c>
      <c r="G21" t="s">
        <v>610</v>
      </c>
      <c r="H21" t="s">
        <v>610</v>
      </c>
      <c r="I21" t="s">
        <v>996</v>
      </c>
      <c r="J21" t="s">
        <v>997</v>
      </c>
      <c r="K21" t="s">
        <v>998</v>
      </c>
    </row>
    <row r="22" spans="1:11" x14ac:dyDescent="0.15">
      <c r="A22" t="s">
        <v>1092</v>
      </c>
      <c r="B22" t="s">
        <v>1093</v>
      </c>
      <c r="C22" t="s">
        <v>1094</v>
      </c>
      <c r="D22" t="s">
        <v>991</v>
      </c>
      <c r="E22" t="s">
        <v>1096</v>
      </c>
      <c r="F22" t="s">
        <v>616</v>
      </c>
      <c r="G22" t="s">
        <v>614</v>
      </c>
      <c r="H22" t="s">
        <v>614</v>
      </c>
      <c r="I22" t="s">
        <v>996</v>
      </c>
      <c r="J22" t="s">
        <v>997</v>
      </c>
      <c r="K22" t="s">
        <v>998</v>
      </c>
    </row>
    <row r="23" spans="1:11" x14ac:dyDescent="0.15">
      <c r="A23" t="s">
        <v>1092</v>
      </c>
      <c r="B23" t="s">
        <v>1093</v>
      </c>
      <c r="C23" t="s">
        <v>1094</v>
      </c>
      <c r="D23" t="s">
        <v>991</v>
      </c>
      <c r="E23" t="s">
        <v>1097</v>
      </c>
      <c r="F23" t="s">
        <v>619</v>
      </c>
      <c r="G23" t="s">
        <v>617</v>
      </c>
      <c r="H23" t="s">
        <v>617</v>
      </c>
      <c r="I23" t="s">
        <v>996</v>
      </c>
      <c r="J23" t="s">
        <v>997</v>
      </c>
      <c r="K23" t="s">
        <v>998</v>
      </c>
    </row>
    <row r="24" spans="1:11" x14ac:dyDescent="0.15">
      <c r="A24" t="s">
        <v>1092</v>
      </c>
      <c r="B24" t="s">
        <v>1093</v>
      </c>
      <c r="C24" t="s">
        <v>1094</v>
      </c>
      <c r="D24" t="s">
        <v>991</v>
      </c>
      <c r="E24" t="s">
        <v>1098</v>
      </c>
      <c r="F24" t="s">
        <v>622</v>
      </c>
      <c r="G24" t="s">
        <v>620</v>
      </c>
      <c r="H24" t="s">
        <v>620</v>
      </c>
      <c r="I24" t="s">
        <v>996</v>
      </c>
      <c r="J24" t="s">
        <v>997</v>
      </c>
      <c r="K24" t="s">
        <v>998</v>
      </c>
    </row>
    <row r="25" spans="1:11" x14ac:dyDescent="0.15">
      <c r="A25" t="s">
        <v>1092</v>
      </c>
      <c r="B25" t="s">
        <v>1093</v>
      </c>
      <c r="C25" t="s">
        <v>1094</v>
      </c>
      <c r="D25" t="s">
        <v>991</v>
      </c>
      <c r="E25" t="s">
        <v>1099</v>
      </c>
      <c r="F25" t="s">
        <v>634</v>
      </c>
      <c r="G25" t="s">
        <v>632</v>
      </c>
      <c r="H25" t="s">
        <v>632</v>
      </c>
      <c r="I25" t="s">
        <v>996</v>
      </c>
      <c r="J25" t="s">
        <v>997</v>
      </c>
      <c r="K25" t="s">
        <v>998</v>
      </c>
    </row>
    <row r="26" spans="1:11" x14ac:dyDescent="0.15">
      <c r="A26" t="s">
        <v>1092</v>
      </c>
      <c r="B26" t="s">
        <v>1093</v>
      </c>
      <c r="C26" t="s">
        <v>1094</v>
      </c>
      <c r="D26" t="s">
        <v>991</v>
      </c>
      <c r="E26" t="s">
        <v>1100</v>
      </c>
      <c r="F26" t="s">
        <v>625</v>
      </c>
      <c r="G26" t="s">
        <v>623</v>
      </c>
      <c r="H26" t="s">
        <v>623</v>
      </c>
      <c r="I26" t="s">
        <v>996</v>
      </c>
      <c r="J26" t="s">
        <v>997</v>
      </c>
      <c r="K26" t="s">
        <v>998</v>
      </c>
    </row>
    <row r="27" spans="1:11" s="26" customFormat="1" x14ac:dyDescent="0.15">
      <c r="A27" s="26" t="s">
        <v>1092</v>
      </c>
      <c r="B27" s="26" t="s">
        <v>1093</v>
      </c>
      <c r="C27" s="26" t="s">
        <v>1094</v>
      </c>
      <c r="D27" s="26" t="s">
        <v>991</v>
      </c>
      <c r="G27" s="26" t="s">
        <v>3717</v>
      </c>
      <c r="H27" s="26" t="s">
        <v>3717</v>
      </c>
      <c r="I27" s="26" t="s">
        <v>996</v>
      </c>
      <c r="J27" s="26" t="s">
        <v>997</v>
      </c>
      <c r="K27" s="26" t="s">
        <v>998</v>
      </c>
    </row>
    <row r="28" spans="1:11" x14ac:dyDescent="0.15">
      <c r="A28" t="s">
        <v>1092</v>
      </c>
      <c r="B28" t="s">
        <v>1093</v>
      </c>
      <c r="C28" t="s">
        <v>1094</v>
      </c>
      <c r="D28" t="s">
        <v>991</v>
      </c>
      <c r="E28" t="s">
        <v>1101</v>
      </c>
      <c r="F28" t="s">
        <v>630</v>
      </c>
      <c r="G28" t="s">
        <v>629</v>
      </c>
      <c r="H28" t="s">
        <v>629</v>
      </c>
      <c r="I28" t="s">
        <v>996</v>
      </c>
      <c r="J28" t="s">
        <v>997</v>
      </c>
      <c r="K28" t="s">
        <v>998</v>
      </c>
    </row>
    <row r="29" spans="1:11" x14ac:dyDescent="0.15">
      <c r="A29" t="s">
        <v>1102</v>
      </c>
      <c r="B29" t="s">
        <v>1103</v>
      </c>
      <c r="D29" t="s">
        <v>991</v>
      </c>
      <c r="E29" t="s">
        <v>1104</v>
      </c>
      <c r="F29" t="s">
        <v>1105</v>
      </c>
      <c r="G29" t="s">
        <v>1106</v>
      </c>
      <c r="H29" t="s">
        <v>1107</v>
      </c>
      <c r="I29" t="s">
        <v>996</v>
      </c>
      <c r="J29" t="s">
        <v>997</v>
      </c>
      <c r="K29" t="s">
        <v>998</v>
      </c>
    </row>
    <row r="30" spans="1:11" x14ac:dyDescent="0.15">
      <c r="A30" t="s">
        <v>1102</v>
      </c>
      <c r="B30" t="s">
        <v>1103</v>
      </c>
      <c r="D30" t="s">
        <v>991</v>
      </c>
      <c r="E30" t="s">
        <v>1108</v>
      </c>
      <c r="F30" t="s">
        <v>1109</v>
      </c>
      <c r="G30" t="s">
        <v>1110</v>
      </c>
      <c r="H30" t="s">
        <v>1111</v>
      </c>
      <c r="I30" t="s">
        <v>996</v>
      </c>
      <c r="J30" t="s">
        <v>997</v>
      </c>
      <c r="K30" t="s">
        <v>998</v>
      </c>
    </row>
    <row r="31" spans="1:11" x14ac:dyDescent="0.15">
      <c r="A31" t="s">
        <v>1112</v>
      </c>
      <c r="B31" t="s">
        <v>1113</v>
      </c>
      <c r="D31" t="s">
        <v>991</v>
      </c>
      <c r="E31" t="s">
        <v>1114</v>
      </c>
      <c r="F31" t="s">
        <v>1115</v>
      </c>
      <c r="G31" t="s">
        <v>1116</v>
      </c>
      <c r="H31" t="s">
        <v>1117</v>
      </c>
      <c r="I31" t="s">
        <v>996</v>
      </c>
      <c r="J31" t="s">
        <v>997</v>
      </c>
      <c r="K31" t="s">
        <v>998</v>
      </c>
    </row>
    <row r="32" spans="1:11" x14ac:dyDescent="0.15">
      <c r="A32" t="s">
        <v>1112</v>
      </c>
      <c r="B32" t="s">
        <v>1113</v>
      </c>
      <c r="D32" t="s">
        <v>991</v>
      </c>
      <c r="E32" t="s">
        <v>1118</v>
      </c>
      <c r="F32" t="s">
        <v>1119</v>
      </c>
      <c r="G32" t="s">
        <v>1120</v>
      </c>
      <c r="H32" t="s">
        <v>1121</v>
      </c>
      <c r="I32" t="s">
        <v>996</v>
      </c>
      <c r="J32" t="s">
        <v>997</v>
      </c>
      <c r="K32" t="s">
        <v>998</v>
      </c>
    </row>
    <row r="33" spans="1:11" x14ac:dyDescent="0.15">
      <c r="A33" t="s">
        <v>1122</v>
      </c>
      <c r="B33" t="s">
        <v>1123</v>
      </c>
      <c r="D33" t="s">
        <v>991</v>
      </c>
      <c r="E33" t="s">
        <v>1124</v>
      </c>
      <c r="F33" t="s">
        <v>1125</v>
      </c>
      <c r="G33" t="s">
        <v>1126</v>
      </c>
      <c r="H33" t="s">
        <v>1127</v>
      </c>
      <c r="I33" t="s">
        <v>996</v>
      </c>
      <c r="J33" t="s">
        <v>997</v>
      </c>
      <c r="K33" t="s">
        <v>998</v>
      </c>
    </row>
    <row r="34" spans="1:11" x14ac:dyDescent="0.15">
      <c r="A34" t="s">
        <v>1122</v>
      </c>
      <c r="B34" t="s">
        <v>1123</v>
      </c>
      <c r="D34" t="s">
        <v>991</v>
      </c>
      <c r="E34" t="s">
        <v>1128</v>
      </c>
      <c r="F34" t="s">
        <v>1129</v>
      </c>
      <c r="G34" t="s">
        <v>1130</v>
      </c>
      <c r="H34" t="s">
        <v>1131</v>
      </c>
      <c r="I34" t="s">
        <v>996</v>
      </c>
      <c r="J34" t="s">
        <v>997</v>
      </c>
      <c r="K34" t="s">
        <v>998</v>
      </c>
    </row>
    <row r="35" spans="1:11" x14ac:dyDescent="0.15">
      <c r="A35" t="s">
        <v>1122</v>
      </c>
      <c r="B35" t="s">
        <v>1123</v>
      </c>
      <c r="D35" t="s">
        <v>991</v>
      </c>
      <c r="E35" t="s">
        <v>1132</v>
      </c>
      <c r="F35" t="s">
        <v>1133</v>
      </c>
      <c r="G35" t="s">
        <v>1134</v>
      </c>
      <c r="H35" t="s">
        <v>1135</v>
      </c>
      <c r="I35" t="s">
        <v>996</v>
      </c>
      <c r="J35" t="s">
        <v>997</v>
      </c>
      <c r="K35" t="s">
        <v>998</v>
      </c>
    </row>
    <row r="36" spans="1:11" x14ac:dyDescent="0.15">
      <c r="A36" t="s">
        <v>1122</v>
      </c>
      <c r="B36" t="s">
        <v>1123</v>
      </c>
      <c r="D36" t="s">
        <v>991</v>
      </c>
      <c r="E36" t="s">
        <v>1136</v>
      </c>
      <c r="F36" t="s">
        <v>1137</v>
      </c>
      <c r="G36" t="s">
        <v>1138</v>
      </c>
      <c r="H36" t="s">
        <v>1139</v>
      </c>
      <c r="I36" t="s">
        <v>996</v>
      </c>
      <c r="J36" t="s">
        <v>997</v>
      </c>
      <c r="K36" t="s">
        <v>998</v>
      </c>
    </row>
    <row r="37" spans="1:11" x14ac:dyDescent="0.15">
      <c r="A37" t="s">
        <v>1122</v>
      </c>
      <c r="B37" t="s">
        <v>1123</v>
      </c>
      <c r="D37" t="s">
        <v>991</v>
      </c>
      <c r="E37" t="s">
        <v>1140</v>
      </c>
      <c r="F37" t="s">
        <v>1141</v>
      </c>
      <c r="G37" t="s">
        <v>1142</v>
      </c>
      <c r="H37" t="s">
        <v>1143</v>
      </c>
      <c r="I37" t="s">
        <v>996</v>
      </c>
      <c r="J37" t="s">
        <v>997</v>
      </c>
      <c r="K37" t="s">
        <v>998</v>
      </c>
    </row>
    <row r="38" spans="1:11" x14ac:dyDescent="0.15">
      <c r="A38" t="s">
        <v>1122</v>
      </c>
      <c r="B38" t="s">
        <v>1123</v>
      </c>
      <c r="D38" t="s">
        <v>991</v>
      </c>
      <c r="E38" t="s">
        <v>1144</v>
      </c>
      <c r="F38" t="s">
        <v>1145</v>
      </c>
      <c r="G38" t="s">
        <v>1146</v>
      </c>
      <c r="H38" t="s">
        <v>1147</v>
      </c>
      <c r="I38" t="s">
        <v>996</v>
      </c>
      <c r="J38" t="s">
        <v>997</v>
      </c>
      <c r="K38" t="s">
        <v>998</v>
      </c>
    </row>
    <row r="39" spans="1:11" x14ac:dyDescent="0.15">
      <c r="A39" t="s">
        <v>1122</v>
      </c>
      <c r="B39" t="s">
        <v>1123</v>
      </c>
      <c r="D39" t="s">
        <v>991</v>
      </c>
      <c r="E39" t="s">
        <v>1148</v>
      </c>
      <c r="F39" t="s">
        <v>1149</v>
      </c>
      <c r="G39" t="s">
        <v>1150</v>
      </c>
      <c r="H39" t="s">
        <v>1151</v>
      </c>
      <c r="I39" t="s">
        <v>996</v>
      </c>
      <c r="J39" t="s">
        <v>997</v>
      </c>
      <c r="K39" t="s">
        <v>998</v>
      </c>
    </row>
    <row r="40" spans="1:11" x14ac:dyDescent="0.15">
      <c r="A40" t="s">
        <v>1152</v>
      </c>
      <c r="B40" t="s">
        <v>1153</v>
      </c>
      <c r="D40" t="s">
        <v>991</v>
      </c>
      <c r="E40" t="s">
        <v>1154</v>
      </c>
      <c r="F40" t="s">
        <v>763</v>
      </c>
      <c r="G40" t="s">
        <v>1155</v>
      </c>
      <c r="H40" t="s">
        <v>761</v>
      </c>
      <c r="I40" t="s">
        <v>996</v>
      </c>
      <c r="J40" t="s">
        <v>997</v>
      </c>
      <c r="K40" t="s">
        <v>998</v>
      </c>
    </row>
    <row r="41" spans="1:11" x14ac:dyDescent="0.15">
      <c r="A41" t="s">
        <v>1152</v>
      </c>
      <c r="B41" t="s">
        <v>1153</v>
      </c>
      <c r="D41" t="s">
        <v>991</v>
      </c>
      <c r="E41" t="s">
        <v>1156</v>
      </c>
      <c r="F41" t="s">
        <v>760</v>
      </c>
      <c r="G41" t="s">
        <v>1157</v>
      </c>
      <c r="H41" t="s">
        <v>758</v>
      </c>
      <c r="I41" t="s">
        <v>996</v>
      </c>
      <c r="J41" t="s">
        <v>997</v>
      </c>
      <c r="K41" t="s">
        <v>998</v>
      </c>
    </row>
    <row r="42" spans="1:11" x14ac:dyDescent="0.15">
      <c r="A42" t="s">
        <v>1158</v>
      </c>
      <c r="B42" t="s">
        <v>1159</v>
      </c>
      <c r="D42" t="s">
        <v>991</v>
      </c>
      <c r="E42" t="s">
        <v>1160</v>
      </c>
      <c r="F42" t="s">
        <v>1161</v>
      </c>
      <c r="G42" t="s">
        <v>1162</v>
      </c>
      <c r="H42" t="s">
        <v>1163</v>
      </c>
      <c r="I42" t="s">
        <v>996</v>
      </c>
      <c r="J42" t="s">
        <v>997</v>
      </c>
      <c r="K42" t="s">
        <v>998</v>
      </c>
    </row>
    <row r="43" spans="1:11" x14ac:dyDescent="0.15">
      <c r="A43" t="s">
        <v>1158</v>
      </c>
      <c r="B43" t="s">
        <v>1159</v>
      </c>
      <c r="D43" t="s">
        <v>991</v>
      </c>
      <c r="E43" t="s">
        <v>1164</v>
      </c>
      <c r="F43" t="s">
        <v>1165</v>
      </c>
      <c r="G43" t="s">
        <v>1166</v>
      </c>
      <c r="H43" t="s">
        <v>1167</v>
      </c>
      <c r="I43" t="s">
        <v>996</v>
      </c>
      <c r="J43" t="s">
        <v>997</v>
      </c>
      <c r="K43" t="s">
        <v>998</v>
      </c>
    </row>
    <row r="44" spans="1:11" x14ac:dyDescent="0.15">
      <c r="A44" t="s">
        <v>1158</v>
      </c>
      <c r="B44" t="s">
        <v>1159</v>
      </c>
      <c r="D44" t="s">
        <v>991</v>
      </c>
      <c r="E44" t="s">
        <v>1168</v>
      </c>
      <c r="F44" t="s">
        <v>1169</v>
      </c>
      <c r="G44" t="s">
        <v>1170</v>
      </c>
      <c r="H44" t="s">
        <v>1171</v>
      </c>
      <c r="I44" t="s">
        <v>996</v>
      </c>
      <c r="J44" t="s">
        <v>997</v>
      </c>
      <c r="K44" t="s">
        <v>998</v>
      </c>
    </row>
    <row r="45" spans="1:11" x14ac:dyDescent="0.15">
      <c r="A45" t="s">
        <v>1158</v>
      </c>
      <c r="B45" t="s">
        <v>1159</v>
      </c>
      <c r="D45" t="s">
        <v>991</v>
      </c>
      <c r="E45" t="s">
        <v>1172</v>
      </c>
      <c r="F45" t="s">
        <v>1173</v>
      </c>
      <c r="G45" t="s">
        <v>1174</v>
      </c>
      <c r="H45" t="s">
        <v>1175</v>
      </c>
      <c r="I45" t="s">
        <v>996</v>
      </c>
      <c r="J45" t="s">
        <v>997</v>
      </c>
      <c r="K45" t="s">
        <v>998</v>
      </c>
    </row>
    <row r="46" spans="1:11" x14ac:dyDescent="0.15">
      <c r="A46" t="s">
        <v>1158</v>
      </c>
      <c r="B46" t="s">
        <v>1159</v>
      </c>
      <c r="D46" t="s">
        <v>991</v>
      </c>
      <c r="E46" t="s">
        <v>1176</v>
      </c>
      <c r="F46" t="s">
        <v>1177</v>
      </c>
      <c r="G46" t="s">
        <v>1178</v>
      </c>
      <c r="H46" t="s">
        <v>1179</v>
      </c>
      <c r="I46" t="s">
        <v>996</v>
      </c>
      <c r="J46" t="s">
        <v>997</v>
      </c>
      <c r="K46" t="s">
        <v>998</v>
      </c>
    </row>
    <row r="47" spans="1:11" x14ac:dyDescent="0.15">
      <c r="A47" t="s">
        <v>1158</v>
      </c>
      <c r="B47" t="s">
        <v>1159</v>
      </c>
      <c r="D47" t="s">
        <v>991</v>
      </c>
      <c r="E47" t="s">
        <v>1180</v>
      </c>
      <c r="F47" t="s">
        <v>1181</v>
      </c>
      <c r="G47" t="s">
        <v>1182</v>
      </c>
      <c r="H47" t="s">
        <v>1183</v>
      </c>
      <c r="I47" t="s">
        <v>996</v>
      </c>
      <c r="J47" t="s">
        <v>997</v>
      </c>
      <c r="K47" t="s">
        <v>998</v>
      </c>
    </row>
    <row r="48" spans="1:11" x14ac:dyDescent="0.15">
      <c r="A48" t="s">
        <v>1158</v>
      </c>
      <c r="B48" t="s">
        <v>1159</v>
      </c>
      <c r="D48" t="s">
        <v>991</v>
      </c>
      <c r="E48" t="s">
        <v>1184</v>
      </c>
      <c r="F48" t="s">
        <v>1185</v>
      </c>
      <c r="G48" t="s">
        <v>1186</v>
      </c>
      <c r="H48" t="s">
        <v>1187</v>
      </c>
      <c r="I48" t="s">
        <v>996</v>
      </c>
      <c r="J48" t="s">
        <v>997</v>
      </c>
      <c r="K48" t="s">
        <v>998</v>
      </c>
    </row>
    <row r="49" spans="1:11" x14ac:dyDescent="0.15">
      <c r="A49" t="s">
        <v>1158</v>
      </c>
      <c r="B49" t="s">
        <v>1159</v>
      </c>
      <c r="D49" t="s">
        <v>991</v>
      </c>
      <c r="E49" t="s">
        <v>1188</v>
      </c>
      <c r="F49" t="s">
        <v>1189</v>
      </c>
      <c r="G49" t="s">
        <v>1190</v>
      </c>
      <c r="H49" t="s">
        <v>1191</v>
      </c>
      <c r="I49" t="s">
        <v>996</v>
      </c>
      <c r="J49" t="s">
        <v>997</v>
      </c>
      <c r="K49" t="s">
        <v>998</v>
      </c>
    </row>
    <row r="50" spans="1:11" x14ac:dyDescent="0.15">
      <c r="A50" t="s">
        <v>1158</v>
      </c>
      <c r="B50" t="s">
        <v>1159</v>
      </c>
      <c r="D50" t="s">
        <v>991</v>
      </c>
      <c r="E50" t="s">
        <v>1192</v>
      </c>
      <c r="F50" t="s">
        <v>1193</v>
      </c>
      <c r="G50" t="s">
        <v>1194</v>
      </c>
      <c r="H50" t="s">
        <v>1195</v>
      </c>
      <c r="I50" t="s">
        <v>996</v>
      </c>
      <c r="J50" t="s">
        <v>997</v>
      </c>
      <c r="K50" t="s">
        <v>998</v>
      </c>
    </row>
    <row r="51" spans="1:11" x14ac:dyDescent="0.15">
      <c r="A51" t="s">
        <v>1158</v>
      </c>
      <c r="B51" t="s">
        <v>1159</v>
      </c>
      <c r="D51" t="s">
        <v>991</v>
      </c>
      <c r="E51" t="s">
        <v>1196</v>
      </c>
      <c r="F51" t="s">
        <v>1197</v>
      </c>
      <c r="G51" t="s">
        <v>1198</v>
      </c>
      <c r="H51" t="s">
        <v>1199</v>
      </c>
      <c r="I51" t="s">
        <v>996</v>
      </c>
      <c r="J51" t="s">
        <v>997</v>
      </c>
      <c r="K51" t="s">
        <v>998</v>
      </c>
    </row>
    <row r="52" spans="1:11" x14ac:dyDescent="0.15">
      <c r="A52" t="s">
        <v>1158</v>
      </c>
      <c r="B52" t="s">
        <v>1159</v>
      </c>
      <c r="D52" t="s">
        <v>991</v>
      </c>
      <c r="E52" t="s">
        <v>1200</v>
      </c>
      <c r="F52" t="s">
        <v>1201</v>
      </c>
      <c r="G52" t="s">
        <v>1202</v>
      </c>
      <c r="H52" t="s">
        <v>1203</v>
      </c>
      <c r="I52" t="s">
        <v>996</v>
      </c>
      <c r="J52" t="s">
        <v>997</v>
      </c>
      <c r="K52" t="s">
        <v>998</v>
      </c>
    </row>
    <row r="53" spans="1:11" x14ac:dyDescent="0.15">
      <c r="A53" t="s">
        <v>1204</v>
      </c>
      <c r="B53" t="s">
        <v>1205</v>
      </c>
      <c r="D53" t="s">
        <v>991</v>
      </c>
      <c r="E53" t="s">
        <v>1206</v>
      </c>
      <c r="F53" t="s">
        <v>1207</v>
      </c>
      <c r="G53" t="s">
        <v>1208</v>
      </c>
      <c r="H53" t="s">
        <v>1209</v>
      </c>
      <c r="I53" t="s">
        <v>996</v>
      </c>
      <c r="J53" t="s">
        <v>997</v>
      </c>
      <c r="K53" t="s">
        <v>998</v>
      </c>
    </row>
    <row r="54" spans="1:11" x14ac:dyDescent="0.15">
      <c r="A54" t="s">
        <v>1204</v>
      </c>
      <c r="B54" t="s">
        <v>1205</v>
      </c>
      <c r="D54" t="s">
        <v>991</v>
      </c>
      <c r="E54" t="s">
        <v>1210</v>
      </c>
      <c r="F54" t="s">
        <v>1211</v>
      </c>
      <c r="G54" t="s">
        <v>1212</v>
      </c>
      <c r="H54" t="s">
        <v>1213</v>
      </c>
      <c r="I54" t="s">
        <v>996</v>
      </c>
      <c r="J54" t="s">
        <v>997</v>
      </c>
      <c r="K54" t="s">
        <v>998</v>
      </c>
    </row>
    <row r="55" spans="1:11" x14ac:dyDescent="0.15">
      <c r="A55" t="s">
        <v>1204</v>
      </c>
      <c r="B55" t="s">
        <v>1205</v>
      </c>
      <c r="D55" t="s">
        <v>991</v>
      </c>
      <c r="E55" t="s">
        <v>1214</v>
      </c>
      <c r="F55" t="s">
        <v>1215</v>
      </c>
      <c r="G55" t="s">
        <v>1216</v>
      </c>
      <c r="H55" t="s">
        <v>1217</v>
      </c>
      <c r="I55" t="s">
        <v>996</v>
      </c>
      <c r="J55" t="s">
        <v>997</v>
      </c>
      <c r="K55" t="s">
        <v>998</v>
      </c>
    </row>
    <row r="56" spans="1:11" x14ac:dyDescent="0.15">
      <c r="A56" t="s">
        <v>1204</v>
      </c>
      <c r="B56" t="s">
        <v>1205</v>
      </c>
      <c r="D56" t="s">
        <v>991</v>
      </c>
      <c r="E56" t="s">
        <v>1218</v>
      </c>
      <c r="F56" t="s">
        <v>1219</v>
      </c>
      <c r="G56" t="s">
        <v>1220</v>
      </c>
      <c r="H56" t="s">
        <v>1221</v>
      </c>
      <c r="I56" t="s">
        <v>996</v>
      </c>
      <c r="J56" t="s">
        <v>997</v>
      </c>
      <c r="K56" t="s">
        <v>998</v>
      </c>
    </row>
    <row r="57" spans="1:11" x14ac:dyDescent="0.15">
      <c r="A57" t="s">
        <v>1204</v>
      </c>
      <c r="B57" t="s">
        <v>1205</v>
      </c>
      <c r="D57" t="s">
        <v>991</v>
      </c>
      <c r="E57" t="s">
        <v>1222</v>
      </c>
      <c r="F57" t="s">
        <v>1223</v>
      </c>
      <c r="G57" t="s">
        <v>1224</v>
      </c>
      <c r="H57" t="s">
        <v>1225</v>
      </c>
      <c r="I57" t="s">
        <v>996</v>
      </c>
      <c r="J57" t="s">
        <v>997</v>
      </c>
      <c r="K57" t="s">
        <v>998</v>
      </c>
    </row>
    <row r="58" spans="1:11" x14ac:dyDescent="0.15">
      <c r="A58" t="s">
        <v>1204</v>
      </c>
      <c r="B58" t="s">
        <v>1205</v>
      </c>
      <c r="D58" t="s">
        <v>991</v>
      </c>
      <c r="E58" t="s">
        <v>1226</v>
      </c>
      <c r="F58" t="s">
        <v>1227</v>
      </c>
      <c r="G58" t="s">
        <v>1228</v>
      </c>
      <c r="H58" t="s">
        <v>1229</v>
      </c>
      <c r="I58" t="s">
        <v>996</v>
      </c>
      <c r="J58" t="s">
        <v>997</v>
      </c>
      <c r="K58" t="s">
        <v>998</v>
      </c>
    </row>
    <row r="59" spans="1:11" x14ac:dyDescent="0.15">
      <c r="A59" t="s">
        <v>1204</v>
      </c>
      <c r="B59" t="s">
        <v>1205</v>
      </c>
      <c r="D59" t="s">
        <v>991</v>
      </c>
      <c r="E59" t="s">
        <v>1230</v>
      </c>
      <c r="F59" t="s">
        <v>1231</v>
      </c>
      <c r="G59" t="s">
        <v>1232</v>
      </c>
      <c r="H59" t="s">
        <v>1233</v>
      </c>
      <c r="I59" t="s">
        <v>996</v>
      </c>
      <c r="J59" t="s">
        <v>997</v>
      </c>
      <c r="K59" t="s">
        <v>998</v>
      </c>
    </row>
    <row r="60" spans="1:11" x14ac:dyDescent="0.15">
      <c r="A60" t="s">
        <v>1204</v>
      </c>
      <c r="B60" t="s">
        <v>1205</v>
      </c>
      <c r="D60" t="s">
        <v>991</v>
      </c>
      <c r="E60" t="s">
        <v>1234</v>
      </c>
      <c r="F60" t="s">
        <v>1235</v>
      </c>
      <c r="G60" t="s">
        <v>1236</v>
      </c>
      <c r="H60" t="s">
        <v>1237</v>
      </c>
      <c r="I60" t="s">
        <v>996</v>
      </c>
      <c r="J60" t="s">
        <v>997</v>
      </c>
      <c r="K60" t="s">
        <v>998</v>
      </c>
    </row>
    <row r="61" spans="1:11" x14ac:dyDescent="0.15">
      <c r="A61" t="s">
        <v>1204</v>
      </c>
      <c r="B61" t="s">
        <v>1205</v>
      </c>
      <c r="D61" t="s">
        <v>991</v>
      </c>
      <c r="E61" t="s">
        <v>1238</v>
      </c>
      <c r="F61" t="s">
        <v>1239</v>
      </c>
      <c r="G61" t="s">
        <v>1240</v>
      </c>
      <c r="H61" t="s">
        <v>1241</v>
      </c>
      <c r="I61" t="s">
        <v>996</v>
      </c>
      <c r="J61" t="s">
        <v>997</v>
      </c>
      <c r="K61" t="s">
        <v>998</v>
      </c>
    </row>
    <row r="62" spans="1:11" x14ac:dyDescent="0.15">
      <c r="A62" t="s">
        <v>1204</v>
      </c>
      <c r="B62" t="s">
        <v>1205</v>
      </c>
      <c r="D62" t="s">
        <v>991</v>
      </c>
      <c r="E62" t="s">
        <v>1242</v>
      </c>
      <c r="F62" t="s">
        <v>1243</v>
      </c>
      <c r="G62" t="s">
        <v>1244</v>
      </c>
      <c r="H62" t="s">
        <v>1245</v>
      </c>
      <c r="I62" t="s">
        <v>996</v>
      </c>
      <c r="J62" t="s">
        <v>997</v>
      </c>
      <c r="K62" t="s">
        <v>998</v>
      </c>
    </row>
    <row r="63" spans="1:11" x14ac:dyDescent="0.15">
      <c r="A63" t="s">
        <v>1204</v>
      </c>
      <c r="B63" t="s">
        <v>1205</v>
      </c>
      <c r="D63" t="s">
        <v>991</v>
      </c>
      <c r="E63" t="s">
        <v>1246</v>
      </c>
      <c r="F63" t="s">
        <v>1247</v>
      </c>
      <c r="G63" t="s">
        <v>1248</v>
      </c>
      <c r="H63" t="s">
        <v>1249</v>
      </c>
      <c r="I63" t="s">
        <v>996</v>
      </c>
      <c r="J63" t="s">
        <v>997</v>
      </c>
      <c r="K63" t="s">
        <v>998</v>
      </c>
    </row>
    <row r="64" spans="1:11" x14ac:dyDescent="0.15">
      <c r="A64" t="s">
        <v>1204</v>
      </c>
      <c r="B64" t="s">
        <v>1205</v>
      </c>
      <c r="D64" t="s">
        <v>991</v>
      </c>
      <c r="E64" t="s">
        <v>1250</v>
      </c>
      <c r="F64" t="s">
        <v>1251</v>
      </c>
      <c r="G64" t="s">
        <v>1252</v>
      </c>
      <c r="H64" t="s">
        <v>1253</v>
      </c>
      <c r="I64" t="s">
        <v>996</v>
      </c>
      <c r="J64" t="s">
        <v>997</v>
      </c>
      <c r="K64" t="s">
        <v>998</v>
      </c>
    </row>
    <row r="65" spans="1:11" x14ac:dyDescent="0.15">
      <c r="A65" t="s">
        <v>1204</v>
      </c>
      <c r="B65" t="s">
        <v>1205</v>
      </c>
      <c r="D65" t="s">
        <v>991</v>
      </c>
      <c r="E65" t="s">
        <v>1254</v>
      </c>
      <c r="F65" t="s">
        <v>1255</v>
      </c>
      <c r="G65" t="s">
        <v>1256</v>
      </c>
      <c r="H65" t="s">
        <v>1257</v>
      </c>
      <c r="I65" t="s">
        <v>996</v>
      </c>
      <c r="J65" t="s">
        <v>997</v>
      </c>
      <c r="K65" t="s">
        <v>998</v>
      </c>
    </row>
    <row r="66" spans="1:11" x14ac:dyDescent="0.15">
      <c r="A66" t="s">
        <v>1258</v>
      </c>
      <c r="B66" t="s">
        <v>1259</v>
      </c>
      <c r="D66" t="s">
        <v>991</v>
      </c>
      <c r="E66" t="s">
        <v>1260</v>
      </c>
      <c r="F66" t="s">
        <v>1261</v>
      </c>
      <c r="G66" t="s">
        <v>1262</v>
      </c>
      <c r="H66" t="s">
        <v>1263</v>
      </c>
      <c r="I66" t="s">
        <v>996</v>
      </c>
      <c r="J66" t="s">
        <v>997</v>
      </c>
      <c r="K66" t="s">
        <v>998</v>
      </c>
    </row>
    <row r="67" spans="1:11" x14ac:dyDescent="0.15">
      <c r="A67" t="s">
        <v>1258</v>
      </c>
      <c r="B67" t="s">
        <v>1259</v>
      </c>
      <c r="D67" t="s">
        <v>991</v>
      </c>
      <c r="E67" t="s">
        <v>1264</v>
      </c>
      <c r="F67" t="s">
        <v>1265</v>
      </c>
      <c r="G67" t="s">
        <v>1266</v>
      </c>
      <c r="H67" t="s">
        <v>1267</v>
      </c>
      <c r="I67" t="s">
        <v>996</v>
      </c>
      <c r="J67" t="s">
        <v>997</v>
      </c>
      <c r="K67" t="s">
        <v>998</v>
      </c>
    </row>
    <row r="68" spans="1:11" x14ac:dyDescent="0.15">
      <c r="A68" t="s">
        <v>1258</v>
      </c>
      <c r="B68" t="s">
        <v>1259</v>
      </c>
      <c r="D68" t="s">
        <v>991</v>
      </c>
      <c r="E68" t="s">
        <v>1268</v>
      </c>
      <c r="F68" t="s">
        <v>1269</v>
      </c>
      <c r="G68" t="s">
        <v>1270</v>
      </c>
      <c r="H68" t="s">
        <v>1271</v>
      </c>
      <c r="I68" t="s">
        <v>996</v>
      </c>
      <c r="J68" t="s">
        <v>997</v>
      </c>
      <c r="K68" t="s">
        <v>998</v>
      </c>
    </row>
    <row r="69" spans="1:11" x14ac:dyDescent="0.15">
      <c r="A69" t="s">
        <v>1272</v>
      </c>
      <c r="B69" t="s">
        <v>1273</v>
      </c>
      <c r="D69" t="s">
        <v>991</v>
      </c>
      <c r="E69" t="s">
        <v>1274</v>
      </c>
      <c r="F69" t="s">
        <v>1275</v>
      </c>
      <c r="G69" t="s">
        <v>1276</v>
      </c>
      <c r="H69" t="s">
        <v>1277</v>
      </c>
      <c r="I69" t="s">
        <v>996</v>
      </c>
      <c r="J69" t="s">
        <v>997</v>
      </c>
      <c r="K69" t="s">
        <v>998</v>
      </c>
    </row>
    <row r="70" spans="1:11" x14ac:dyDescent="0.15">
      <c r="A70" t="s">
        <v>1272</v>
      </c>
      <c r="B70" t="s">
        <v>1273</v>
      </c>
      <c r="D70" t="s">
        <v>991</v>
      </c>
      <c r="E70" t="s">
        <v>1278</v>
      </c>
      <c r="F70" t="s">
        <v>1279</v>
      </c>
      <c r="G70" t="s">
        <v>1280</v>
      </c>
      <c r="H70" t="s">
        <v>1281</v>
      </c>
      <c r="I70" t="s">
        <v>996</v>
      </c>
      <c r="J70" t="s">
        <v>997</v>
      </c>
      <c r="K70" t="s">
        <v>998</v>
      </c>
    </row>
    <row r="71" spans="1:11" x14ac:dyDescent="0.15">
      <c r="A71" t="s">
        <v>1282</v>
      </c>
      <c r="B71" t="s">
        <v>1283</v>
      </c>
      <c r="D71" t="s">
        <v>991</v>
      </c>
      <c r="E71" t="s">
        <v>1284</v>
      </c>
      <c r="F71" t="s">
        <v>1285</v>
      </c>
      <c r="G71" t="s">
        <v>1286</v>
      </c>
      <c r="H71" t="s">
        <v>1287</v>
      </c>
      <c r="I71" t="s">
        <v>996</v>
      </c>
      <c r="J71" t="s">
        <v>997</v>
      </c>
      <c r="K71" t="s">
        <v>998</v>
      </c>
    </row>
    <row r="72" spans="1:11" x14ac:dyDescent="0.15">
      <c r="A72" t="s">
        <v>1288</v>
      </c>
      <c r="B72" t="s">
        <v>1289</v>
      </c>
      <c r="D72" t="s">
        <v>991</v>
      </c>
      <c r="E72" t="s">
        <v>1290</v>
      </c>
      <c r="F72" t="s">
        <v>1291</v>
      </c>
      <c r="G72" t="s">
        <v>1292</v>
      </c>
      <c r="H72" t="s">
        <v>1293</v>
      </c>
      <c r="I72" t="s">
        <v>996</v>
      </c>
      <c r="J72" t="s">
        <v>997</v>
      </c>
      <c r="K72" t="s">
        <v>998</v>
      </c>
    </row>
    <row r="73" spans="1:11" x14ac:dyDescent="0.15">
      <c r="A73" t="s">
        <v>1288</v>
      </c>
      <c r="B73" t="s">
        <v>1289</v>
      </c>
      <c r="D73" t="s">
        <v>991</v>
      </c>
      <c r="E73" t="s">
        <v>1294</v>
      </c>
      <c r="F73" t="s">
        <v>1295</v>
      </c>
      <c r="G73" t="s">
        <v>1296</v>
      </c>
      <c r="H73" t="s">
        <v>1297</v>
      </c>
      <c r="I73" t="s">
        <v>996</v>
      </c>
      <c r="J73" t="s">
        <v>997</v>
      </c>
      <c r="K73" t="s">
        <v>998</v>
      </c>
    </row>
    <row r="74" spans="1:11" x14ac:dyDescent="0.15">
      <c r="A74" t="s">
        <v>1288</v>
      </c>
      <c r="B74" t="s">
        <v>1289</v>
      </c>
      <c r="D74" t="s">
        <v>991</v>
      </c>
      <c r="E74" t="s">
        <v>1298</v>
      </c>
      <c r="F74" t="s">
        <v>1299</v>
      </c>
      <c r="G74" t="s">
        <v>1300</v>
      </c>
      <c r="H74" t="s">
        <v>1301</v>
      </c>
      <c r="I74" t="s">
        <v>996</v>
      </c>
      <c r="J74" t="s">
        <v>997</v>
      </c>
      <c r="K74" t="s">
        <v>998</v>
      </c>
    </row>
    <row r="75" spans="1:11" x14ac:dyDescent="0.15">
      <c r="A75" t="s">
        <v>1302</v>
      </c>
      <c r="B75" t="s">
        <v>1303</v>
      </c>
      <c r="D75" t="s">
        <v>991</v>
      </c>
      <c r="E75" t="s">
        <v>1304</v>
      </c>
      <c r="F75" t="s">
        <v>1305</v>
      </c>
      <c r="G75" t="s">
        <v>1306</v>
      </c>
      <c r="H75" t="s">
        <v>1307</v>
      </c>
      <c r="I75" t="s">
        <v>996</v>
      </c>
      <c r="J75" t="s">
        <v>997</v>
      </c>
      <c r="K75" t="s">
        <v>998</v>
      </c>
    </row>
    <row r="76" spans="1:11" x14ac:dyDescent="0.15">
      <c r="A76" t="s">
        <v>1308</v>
      </c>
      <c r="B76" t="s">
        <v>1309</v>
      </c>
      <c r="D76" t="s">
        <v>991</v>
      </c>
      <c r="E76" t="s">
        <v>1310</v>
      </c>
      <c r="F76" t="s">
        <v>1311</v>
      </c>
      <c r="G76" t="s">
        <v>1312</v>
      </c>
      <c r="H76" t="s">
        <v>1313</v>
      </c>
      <c r="I76" t="s">
        <v>996</v>
      </c>
      <c r="J76" t="s">
        <v>997</v>
      </c>
      <c r="K76" t="s">
        <v>998</v>
      </c>
    </row>
    <row r="77" spans="1:11" x14ac:dyDescent="0.15">
      <c r="A77" t="s">
        <v>1314</v>
      </c>
      <c r="B77" t="s">
        <v>1315</v>
      </c>
      <c r="D77" t="s">
        <v>991</v>
      </c>
      <c r="E77" t="s">
        <v>1316</v>
      </c>
      <c r="F77" t="s">
        <v>1317</v>
      </c>
      <c r="G77" t="s">
        <v>1318</v>
      </c>
      <c r="H77" t="s">
        <v>1319</v>
      </c>
      <c r="I77" t="s">
        <v>996</v>
      </c>
      <c r="J77" t="s">
        <v>997</v>
      </c>
      <c r="K77" t="s">
        <v>998</v>
      </c>
    </row>
    <row r="78" spans="1:11" x14ac:dyDescent="0.15">
      <c r="A78" t="s">
        <v>1320</v>
      </c>
      <c r="B78" t="s">
        <v>1321</v>
      </c>
      <c r="D78" t="s">
        <v>991</v>
      </c>
      <c r="E78" t="s">
        <v>1322</v>
      </c>
      <c r="F78" t="s">
        <v>657</v>
      </c>
      <c r="G78" t="s">
        <v>1323</v>
      </c>
      <c r="H78" t="s">
        <v>655</v>
      </c>
      <c r="I78" t="s">
        <v>996</v>
      </c>
      <c r="J78" t="s">
        <v>997</v>
      </c>
      <c r="K78" t="s">
        <v>998</v>
      </c>
    </row>
    <row r="79" spans="1:11" x14ac:dyDescent="0.15">
      <c r="A79" t="s">
        <v>1324</v>
      </c>
      <c r="B79" t="s">
        <v>1325</v>
      </c>
      <c r="D79" t="s">
        <v>991</v>
      </c>
      <c r="E79" t="s">
        <v>1326</v>
      </c>
      <c r="F79" t="s">
        <v>1327</v>
      </c>
      <c r="G79" t="s">
        <v>1328</v>
      </c>
      <c r="H79" t="s">
        <v>1329</v>
      </c>
      <c r="I79" t="s">
        <v>996</v>
      </c>
      <c r="J79" t="s">
        <v>997</v>
      </c>
      <c r="K79" t="s">
        <v>998</v>
      </c>
    </row>
    <row r="80" spans="1:11" x14ac:dyDescent="0.15">
      <c r="A80" t="s">
        <v>1330</v>
      </c>
      <c r="B80" t="s">
        <v>1331</v>
      </c>
      <c r="D80" t="s">
        <v>991</v>
      </c>
      <c r="E80" t="s">
        <v>1332</v>
      </c>
      <c r="F80" t="s">
        <v>1333</v>
      </c>
      <c r="G80" t="s">
        <v>1334</v>
      </c>
      <c r="H80" t="s">
        <v>1335</v>
      </c>
      <c r="I80" t="s">
        <v>996</v>
      </c>
      <c r="J80" t="s">
        <v>997</v>
      </c>
      <c r="K80" t="s">
        <v>998</v>
      </c>
    </row>
    <row r="81" spans="1:11" x14ac:dyDescent="0.15">
      <c r="A81" t="s">
        <v>1336</v>
      </c>
      <c r="B81" t="s">
        <v>1337</v>
      </c>
      <c r="D81" t="s">
        <v>991</v>
      </c>
      <c r="E81" t="s">
        <v>1338</v>
      </c>
      <c r="F81" t="s">
        <v>1339</v>
      </c>
      <c r="G81" t="s">
        <v>1340</v>
      </c>
      <c r="H81" t="s">
        <v>1341</v>
      </c>
      <c r="I81" t="s">
        <v>996</v>
      </c>
      <c r="J81" t="s">
        <v>997</v>
      </c>
      <c r="K81" t="s">
        <v>998</v>
      </c>
    </row>
    <row r="82" spans="1:11" x14ac:dyDescent="0.15">
      <c r="A82" t="s">
        <v>1342</v>
      </c>
      <c r="B82" t="s">
        <v>1343</v>
      </c>
      <c r="C82" t="s">
        <v>1344</v>
      </c>
      <c r="D82" t="s">
        <v>991</v>
      </c>
      <c r="E82" t="s">
        <v>1345</v>
      </c>
      <c r="F82" t="s">
        <v>1346</v>
      </c>
      <c r="G82" t="s">
        <v>1347</v>
      </c>
      <c r="H82" t="s">
        <v>1348</v>
      </c>
      <c r="I82" t="s">
        <v>996</v>
      </c>
      <c r="J82" t="s">
        <v>997</v>
      </c>
      <c r="K82" t="s">
        <v>998</v>
      </c>
    </row>
    <row r="83" spans="1:11" x14ac:dyDescent="0.15">
      <c r="A83" t="s">
        <v>1342</v>
      </c>
      <c r="B83" t="s">
        <v>1343</v>
      </c>
      <c r="C83" t="s">
        <v>1344</v>
      </c>
      <c r="D83" t="s">
        <v>991</v>
      </c>
      <c r="E83" t="s">
        <v>1349</v>
      </c>
      <c r="F83" t="s">
        <v>1350</v>
      </c>
      <c r="G83" t="s">
        <v>1351</v>
      </c>
      <c r="H83" t="s">
        <v>1352</v>
      </c>
      <c r="I83" t="s">
        <v>996</v>
      </c>
      <c r="J83" t="s">
        <v>997</v>
      </c>
      <c r="K83" t="s">
        <v>998</v>
      </c>
    </row>
    <row r="84" spans="1:11" x14ac:dyDescent="0.15">
      <c r="A84" t="s">
        <v>1342</v>
      </c>
      <c r="B84" t="s">
        <v>1343</v>
      </c>
      <c r="C84" t="s">
        <v>1344</v>
      </c>
      <c r="D84" t="s">
        <v>991</v>
      </c>
      <c r="E84" t="s">
        <v>1353</v>
      </c>
      <c r="F84" t="s">
        <v>1354</v>
      </c>
      <c r="G84" t="s">
        <v>1355</v>
      </c>
      <c r="H84" t="s">
        <v>1356</v>
      </c>
      <c r="I84" t="s">
        <v>996</v>
      </c>
      <c r="J84" t="s">
        <v>997</v>
      </c>
      <c r="K84" t="s">
        <v>998</v>
      </c>
    </row>
    <row r="85" spans="1:11" x14ac:dyDescent="0.15">
      <c r="A85" t="s">
        <v>1357</v>
      </c>
      <c r="B85" t="s">
        <v>1358</v>
      </c>
      <c r="C85" t="s">
        <v>1359</v>
      </c>
      <c r="D85" t="s">
        <v>991</v>
      </c>
      <c r="E85" t="s">
        <v>1360</v>
      </c>
      <c r="F85" t="s">
        <v>1361</v>
      </c>
      <c r="G85" t="s">
        <v>1362</v>
      </c>
      <c r="H85" t="s">
        <v>1363</v>
      </c>
      <c r="I85" t="s">
        <v>996</v>
      </c>
      <c r="J85" t="s">
        <v>997</v>
      </c>
      <c r="K85" t="s">
        <v>998</v>
      </c>
    </row>
    <row r="86" spans="1:11" x14ac:dyDescent="0.15">
      <c r="A86" t="s">
        <v>1364</v>
      </c>
      <c r="B86" t="s">
        <v>1365</v>
      </c>
      <c r="D86" t="s">
        <v>991</v>
      </c>
      <c r="E86" t="s">
        <v>1366</v>
      </c>
      <c r="F86" t="s">
        <v>1367</v>
      </c>
      <c r="G86" t="s">
        <v>1368</v>
      </c>
      <c r="H86" t="s">
        <v>1369</v>
      </c>
      <c r="I86" t="s">
        <v>996</v>
      </c>
      <c r="J86" t="s">
        <v>997</v>
      </c>
      <c r="K86" t="s">
        <v>998</v>
      </c>
    </row>
    <row r="87" spans="1:11" x14ac:dyDescent="0.15">
      <c r="A87" t="s">
        <v>1370</v>
      </c>
      <c r="B87" t="s">
        <v>74</v>
      </c>
      <c r="D87" t="s">
        <v>991</v>
      </c>
      <c r="E87" t="s">
        <v>1371</v>
      </c>
      <c r="F87" t="s">
        <v>1372</v>
      </c>
      <c r="G87" t="s">
        <v>1373</v>
      </c>
      <c r="H87" t="s">
        <v>1374</v>
      </c>
      <c r="I87" t="s">
        <v>996</v>
      </c>
      <c r="J87" t="s">
        <v>997</v>
      </c>
      <c r="K87" t="s">
        <v>998</v>
      </c>
    </row>
    <row r="88" spans="1:11" x14ac:dyDescent="0.15">
      <c r="A88" t="s">
        <v>1375</v>
      </c>
      <c r="B88" t="s">
        <v>1376</v>
      </c>
      <c r="D88" t="s">
        <v>991</v>
      </c>
      <c r="E88" t="s">
        <v>1377</v>
      </c>
      <c r="F88" t="s">
        <v>1378</v>
      </c>
      <c r="G88" t="s">
        <v>1379</v>
      </c>
      <c r="H88" t="s">
        <v>1380</v>
      </c>
      <c r="I88" t="s">
        <v>996</v>
      </c>
      <c r="J88" t="s">
        <v>997</v>
      </c>
      <c r="K88" t="s">
        <v>998</v>
      </c>
    </row>
    <row r="89" spans="1:11" x14ac:dyDescent="0.15">
      <c r="A89" t="s">
        <v>1375</v>
      </c>
      <c r="B89" t="s">
        <v>1376</v>
      </c>
      <c r="D89" t="s">
        <v>991</v>
      </c>
      <c r="E89" t="s">
        <v>1381</v>
      </c>
      <c r="F89" t="s">
        <v>1382</v>
      </c>
      <c r="G89" t="s">
        <v>1383</v>
      </c>
      <c r="H89" t="s">
        <v>1384</v>
      </c>
      <c r="I89" t="s">
        <v>996</v>
      </c>
      <c r="J89" t="s">
        <v>997</v>
      </c>
      <c r="K89" t="s">
        <v>998</v>
      </c>
    </row>
    <row r="90" spans="1:11" x14ac:dyDescent="0.15">
      <c r="A90" t="s">
        <v>1375</v>
      </c>
      <c r="B90" t="s">
        <v>1376</v>
      </c>
      <c r="D90" t="s">
        <v>991</v>
      </c>
      <c r="E90" t="s">
        <v>1385</v>
      </c>
      <c r="F90" t="s">
        <v>1386</v>
      </c>
      <c r="G90" t="s">
        <v>1387</v>
      </c>
      <c r="H90" t="s">
        <v>1388</v>
      </c>
      <c r="I90" t="s">
        <v>996</v>
      </c>
      <c r="J90" t="s">
        <v>997</v>
      </c>
      <c r="K90" t="s">
        <v>998</v>
      </c>
    </row>
    <row r="91" spans="1:11" x14ac:dyDescent="0.15">
      <c r="A91" t="s">
        <v>1375</v>
      </c>
      <c r="B91" t="s">
        <v>1376</v>
      </c>
      <c r="D91" t="s">
        <v>991</v>
      </c>
      <c r="E91" t="s">
        <v>1389</v>
      </c>
      <c r="F91" t="s">
        <v>1390</v>
      </c>
      <c r="G91" t="s">
        <v>1391</v>
      </c>
      <c r="H91" t="s">
        <v>1392</v>
      </c>
      <c r="I91" t="s">
        <v>996</v>
      </c>
      <c r="J91" t="s">
        <v>997</v>
      </c>
      <c r="K91" t="s">
        <v>998</v>
      </c>
    </row>
    <row r="92" spans="1:11" x14ac:dyDescent="0.15">
      <c r="A92" t="s">
        <v>1375</v>
      </c>
      <c r="B92" t="s">
        <v>1376</v>
      </c>
      <c r="D92" t="s">
        <v>991</v>
      </c>
      <c r="E92" t="s">
        <v>1393</v>
      </c>
      <c r="F92" t="s">
        <v>1394</v>
      </c>
      <c r="G92" t="s">
        <v>1395</v>
      </c>
      <c r="H92" t="s">
        <v>1396</v>
      </c>
      <c r="I92" t="s">
        <v>996</v>
      </c>
      <c r="J92" t="s">
        <v>997</v>
      </c>
      <c r="K92" t="s">
        <v>998</v>
      </c>
    </row>
    <row r="93" spans="1:11" x14ac:dyDescent="0.15">
      <c r="A93" t="s">
        <v>1375</v>
      </c>
      <c r="B93" t="s">
        <v>1376</v>
      </c>
      <c r="D93" t="s">
        <v>991</v>
      </c>
      <c r="E93" t="s">
        <v>1397</v>
      </c>
      <c r="F93" t="s">
        <v>1398</v>
      </c>
      <c r="G93" t="s">
        <v>1399</v>
      </c>
      <c r="H93" t="s">
        <v>1400</v>
      </c>
      <c r="I93" t="s">
        <v>996</v>
      </c>
      <c r="J93" t="s">
        <v>997</v>
      </c>
      <c r="K93" t="s">
        <v>998</v>
      </c>
    </row>
    <row r="94" spans="1:11" x14ac:dyDescent="0.15">
      <c r="A94" t="s">
        <v>1375</v>
      </c>
      <c r="B94" t="s">
        <v>1376</v>
      </c>
      <c r="D94" t="s">
        <v>991</v>
      </c>
      <c r="E94" t="s">
        <v>1401</v>
      </c>
      <c r="F94" t="s">
        <v>1402</v>
      </c>
      <c r="G94" t="s">
        <v>1403</v>
      </c>
      <c r="H94" t="s">
        <v>1404</v>
      </c>
      <c r="I94" t="s">
        <v>996</v>
      </c>
      <c r="J94" t="s">
        <v>997</v>
      </c>
      <c r="K94" t="s">
        <v>998</v>
      </c>
    </row>
    <row r="95" spans="1:11" x14ac:dyDescent="0.15">
      <c r="A95" t="s">
        <v>1375</v>
      </c>
      <c r="B95" t="s">
        <v>1376</v>
      </c>
      <c r="D95" t="s">
        <v>991</v>
      </c>
      <c r="E95" t="s">
        <v>1405</v>
      </c>
      <c r="F95" t="s">
        <v>1406</v>
      </c>
      <c r="G95" t="s">
        <v>1407</v>
      </c>
      <c r="H95" t="s">
        <v>1408</v>
      </c>
      <c r="I95" t="s">
        <v>996</v>
      </c>
      <c r="J95" t="s">
        <v>997</v>
      </c>
      <c r="K95" t="s">
        <v>998</v>
      </c>
    </row>
    <row r="96" spans="1:11" x14ac:dyDescent="0.15">
      <c r="A96" t="s">
        <v>1375</v>
      </c>
      <c r="B96" t="s">
        <v>1376</v>
      </c>
      <c r="D96" t="s">
        <v>991</v>
      </c>
      <c r="E96" t="s">
        <v>1409</v>
      </c>
      <c r="F96" t="s">
        <v>1410</v>
      </c>
      <c r="G96" t="s">
        <v>1411</v>
      </c>
      <c r="H96" t="s">
        <v>1412</v>
      </c>
      <c r="I96" t="s">
        <v>996</v>
      </c>
      <c r="J96" t="s">
        <v>997</v>
      </c>
      <c r="K96" t="s">
        <v>998</v>
      </c>
    </row>
    <row r="97" spans="1:11" x14ac:dyDescent="0.15">
      <c r="A97" t="s">
        <v>1413</v>
      </c>
      <c r="B97" t="s">
        <v>1414</v>
      </c>
      <c r="D97" t="s">
        <v>991</v>
      </c>
      <c r="E97" t="s">
        <v>1415</v>
      </c>
      <c r="F97" t="s">
        <v>1416</v>
      </c>
      <c r="G97" t="s">
        <v>1417</v>
      </c>
      <c r="H97" t="s">
        <v>1418</v>
      </c>
      <c r="I97" t="s">
        <v>996</v>
      </c>
      <c r="J97" t="s">
        <v>997</v>
      </c>
      <c r="K97" t="s">
        <v>998</v>
      </c>
    </row>
    <row r="98" spans="1:11" x14ac:dyDescent="0.15">
      <c r="A98" t="s">
        <v>1413</v>
      </c>
      <c r="B98" t="s">
        <v>1414</v>
      </c>
      <c r="D98" t="s">
        <v>991</v>
      </c>
      <c r="E98" t="s">
        <v>1419</v>
      </c>
      <c r="F98" t="s">
        <v>1420</v>
      </c>
      <c r="G98" t="s">
        <v>1421</v>
      </c>
      <c r="H98" t="s">
        <v>1422</v>
      </c>
      <c r="I98" t="s">
        <v>996</v>
      </c>
      <c r="J98" t="s">
        <v>997</v>
      </c>
      <c r="K98" t="s">
        <v>998</v>
      </c>
    </row>
    <row r="99" spans="1:11" x14ac:dyDescent="0.15">
      <c r="A99" t="s">
        <v>1413</v>
      </c>
      <c r="B99" t="s">
        <v>1414</v>
      </c>
      <c r="D99" t="s">
        <v>991</v>
      </c>
      <c r="E99" t="s">
        <v>1423</v>
      </c>
      <c r="F99" t="s">
        <v>1424</v>
      </c>
      <c r="G99" t="s">
        <v>1425</v>
      </c>
      <c r="H99" t="s">
        <v>1426</v>
      </c>
      <c r="I99" t="s">
        <v>996</v>
      </c>
      <c r="J99" t="s">
        <v>997</v>
      </c>
      <c r="K99" t="s">
        <v>998</v>
      </c>
    </row>
    <row r="100" spans="1:11" x14ac:dyDescent="0.15">
      <c r="A100" t="s">
        <v>1413</v>
      </c>
      <c r="B100" t="s">
        <v>1414</v>
      </c>
      <c r="D100" t="s">
        <v>991</v>
      </c>
      <c r="E100" t="s">
        <v>1427</v>
      </c>
      <c r="F100" t="s">
        <v>1428</v>
      </c>
      <c r="G100" t="s">
        <v>1429</v>
      </c>
      <c r="H100" t="s">
        <v>1430</v>
      </c>
      <c r="I100" t="s">
        <v>996</v>
      </c>
      <c r="J100" t="s">
        <v>997</v>
      </c>
      <c r="K100" t="s">
        <v>998</v>
      </c>
    </row>
    <row r="101" spans="1:11" x14ac:dyDescent="0.15">
      <c r="A101" t="s">
        <v>1413</v>
      </c>
      <c r="B101" t="s">
        <v>1414</v>
      </c>
      <c r="D101" t="s">
        <v>991</v>
      </c>
      <c r="E101" t="s">
        <v>1431</v>
      </c>
      <c r="F101" t="s">
        <v>1432</v>
      </c>
      <c r="G101" t="s">
        <v>1433</v>
      </c>
      <c r="H101" t="s">
        <v>1434</v>
      </c>
      <c r="I101" t="s">
        <v>996</v>
      </c>
      <c r="J101" t="s">
        <v>997</v>
      </c>
      <c r="K101" t="s">
        <v>998</v>
      </c>
    </row>
    <row r="102" spans="1:11" x14ac:dyDescent="0.15">
      <c r="A102" t="s">
        <v>1413</v>
      </c>
      <c r="B102" t="s">
        <v>1414</v>
      </c>
      <c r="D102" t="s">
        <v>991</v>
      </c>
      <c r="E102" t="s">
        <v>1435</v>
      </c>
      <c r="F102" t="s">
        <v>1436</v>
      </c>
      <c r="G102" t="s">
        <v>1437</v>
      </c>
      <c r="H102" t="s">
        <v>1438</v>
      </c>
      <c r="I102" t="s">
        <v>996</v>
      </c>
      <c r="J102" t="s">
        <v>997</v>
      </c>
      <c r="K102" t="s">
        <v>998</v>
      </c>
    </row>
    <row r="103" spans="1:11" x14ac:dyDescent="0.15">
      <c r="A103" t="s">
        <v>1413</v>
      </c>
      <c r="B103" t="s">
        <v>1414</v>
      </c>
      <c r="D103" t="s">
        <v>991</v>
      </c>
      <c r="E103" t="s">
        <v>1439</v>
      </c>
      <c r="F103" t="s">
        <v>1440</v>
      </c>
      <c r="G103" t="s">
        <v>1441</v>
      </c>
      <c r="H103" t="s">
        <v>1442</v>
      </c>
      <c r="I103" t="s">
        <v>996</v>
      </c>
      <c r="J103" t="s">
        <v>997</v>
      </c>
      <c r="K103" t="s">
        <v>998</v>
      </c>
    </row>
    <row r="104" spans="1:11" x14ac:dyDescent="0.15">
      <c r="A104" t="s">
        <v>1413</v>
      </c>
      <c r="B104" t="s">
        <v>1414</v>
      </c>
      <c r="D104" t="s">
        <v>991</v>
      </c>
      <c r="E104" t="s">
        <v>1443</v>
      </c>
      <c r="F104" t="s">
        <v>1444</v>
      </c>
      <c r="G104" t="s">
        <v>1445</v>
      </c>
      <c r="H104" t="s">
        <v>1446</v>
      </c>
      <c r="I104" t="s">
        <v>996</v>
      </c>
      <c r="J104" t="s">
        <v>997</v>
      </c>
      <c r="K104" t="s">
        <v>998</v>
      </c>
    </row>
    <row r="105" spans="1:11" x14ac:dyDescent="0.15">
      <c r="A105" t="s">
        <v>1413</v>
      </c>
      <c r="B105" t="s">
        <v>1414</v>
      </c>
      <c r="D105" t="s">
        <v>991</v>
      </c>
      <c r="E105" t="s">
        <v>1447</v>
      </c>
      <c r="F105" t="s">
        <v>1448</v>
      </c>
      <c r="G105" t="s">
        <v>1449</v>
      </c>
      <c r="H105" t="s">
        <v>1450</v>
      </c>
      <c r="I105" t="s">
        <v>996</v>
      </c>
      <c r="J105" t="s">
        <v>997</v>
      </c>
      <c r="K105" t="s">
        <v>998</v>
      </c>
    </row>
    <row r="106" spans="1:11" x14ac:dyDescent="0.15">
      <c r="A106" t="s">
        <v>1413</v>
      </c>
      <c r="B106" t="s">
        <v>1414</v>
      </c>
      <c r="D106" t="s">
        <v>991</v>
      </c>
      <c r="E106" t="s">
        <v>1451</v>
      </c>
      <c r="F106" t="s">
        <v>1452</v>
      </c>
      <c r="G106" t="s">
        <v>1453</v>
      </c>
      <c r="H106" t="s">
        <v>1454</v>
      </c>
      <c r="I106" t="s">
        <v>996</v>
      </c>
      <c r="J106" t="s">
        <v>997</v>
      </c>
      <c r="K106" t="s">
        <v>998</v>
      </c>
    </row>
    <row r="107" spans="1:11" x14ac:dyDescent="0.15">
      <c r="A107" t="s">
        <v>1413</v>
      </c>
      <c r="B107" t="s">
        <v>1414</v>
      </c>
      <c r="D107" t="s">
        <v>991</v>
      </c>
      <c r="E107" t="s">
        <v>1455</v>
      </c>
      <c r="F107" t="s">
        <v>1456</v>
      </c>
      <c r="G107" t="s">
        <v>1457</v>
      </c>
      <c r="H107" t="s">
        <v>1458</v>
      </c>
      <c r="I107" t="s">
        <v>996</v>
      </c>
      <c r="J107" t="s">
        <v>997</v>
      </c>
      <c r="K107" t="s">
        <v>998</v>
      </c>
    </row>
    <row r="108" spans="1:11" x14ac:dyDescent="0.15">
      <c r="A108" t="s">
        <v>1413</v>
      </c>
      <c r="B108" t="s">
        <v>1414</v>
      </c>
      <c r="D108" t="s">
        <v>991</v>
      </c>
      <c r="E108" t="s">
        <v>1459</v>
      </c>
      <c r="F108" t="s">
        <v>1460</v>
      </c>
      <c r="G108" t="s">
        <v>1461</v>
      </c>
      <c r="H108" t="s">
        <v>1462</v>
      </c>
      <c r="I108" t="s">
        <v>996</v>
      </c>
      <c r="J108" t="s">
        <v>997</v>
      </c>
      <c r="K108" t="s">
        <v>998</v>
      </c>
    </row>
    <row r="109" spans="1:11" x14ac:dyDescent="0.15">
      <c r="A109" t="s">
        <v>1413</v>
      </c>
      <c r="B109" t="s">
        <v>1414</v>
      </c>
      <c r="D109" t="s">
        <v>991</v>
      </c>
      <c r="E109" t="s">
        <v>1463</v>
      </c>
      <c r="F109" t="s">
        <v>1464</v>
      </c>
      <c r="G109" t="s">
        <v>1465</v>
      </c>
      <c r="H109" t="s">
        <v>1466</v>
      </c>
      <c r="I109" t="s">
        <v>996</v>
      </c>
      <c r="J109" t="s">
        <v>997</v>
      </c>
      <c r="K109" t="s">
        <v>998</v>
      </c>
    </row>
    <row r="110" spans="1:11" x14ac:dyDescent="0.15">
      <c r="A110" t="s">
        <v>1413</v>
      </c>
      <c r="B110" t="s">
        <v>1414</v>
      </c>
      <c r="D110" t="s">
        <v>991</v>
      </c>
      <c r="E110" t="s">
        <v>1467</v>
      </c>
      <c r="F110" t="s">
        <v>1468</v>
      </c>
      <c r="G110" t="s">
        <v>1469</v>
      </c>
      <c r="H110" t="s">
        <v>1470</v>
      </c>
      <c r="I110" t="s">
        <v>996</v>
      </c>
      <c r="J110" t="s">
        <v>997</v>
      </c>
      <c r="K110" t="s">
        <v>998</v>
      </c>
    </row>
    <row r="111" spans="1:11" x14ac:dyDescent="0.15">
      <c r="A111" t="s">
        <v>1413</v>
      </c>
      <c r="B111" t="s">
        <v>1414</v>
      </c>
      <c r="D111" t="s">
        <v>991</v>
      </c>
      <c r="E111" t="s">
        <v>1471</v>
      </c>
      <c r="F111" t="s">
        <v>1472</v>
      </c>
      <c r="G111" t="s">
        <v>1473</v>
      </c>
      <c r="H111" t="s">
        <v>1474</v>
      </c>
      <c r="I111" t="s">
        <v>996</v>
      </c>
      <c r="J111" t="s">
        <v>997</v>
      </c>
      <c r="K111" t="s">
        <v>998</v>
      </c>
    </row>
    <row r="112" spans="1:11" x14ac:dyDescent="0.15">
      <c r="A112" t="s">
        <v>1413</v>
      </c>
      <c r="B112" t="s">
        <v>1414</v>
      </c>
      <c r="D112" t="s">
        <v>991</v>
      </c>
      <c r="E112" t="s">
        <v>1475</v>
      </c>
      <c r="F112" t="s">
        <v>1476</v>
      </c>
      <c r="G112" t="s">
        <v>1477</v>
      </c>
      <c r="H112" t="s">
        <v>1478</v>
      </c>
      <c r="I112" t="s">
        <v>996</v>
      </c>
      <c r="J112" t="s">
        <v>997</v>
      </c>
      <c r="K112" t="s">
        <v>998</v>
      </c>
    </row>
    <row r="113" spans="1:11" x14ac:dyDescent="0.15">
      <c r="A113" t="s">
        <v>1413</v>
      </c>
      <c r="B113" t="s">
        <v>1414</v>
      </c>
      <c r="D113" t="s">
        <v>991</v>
      </c>
      <c r="E113" t="s">
        <v>1479</v>
      </c>
      <c r="F113" t="s">
        <v>1480</v>
      </c>
      <c r="G113" t="s">
        <v>1481</v>
      </c>
      <c r="H113" t="s">
        <v>1482</v>
      </c>
      <c r="I113" t="s">
        <v>996</v>
      </c>
      <c r="J113" t="s">
        <v>997</v>
      </c>
      <c r="K113" t="s">
        <v>998</v>
      </c>
    </row>
    <row r="114" spans="1:11" x14ac:dyDescent="0.15">
      <c r="A114" t="s">
        <v>1413</v>
      </c>
      <c r="B114" t="s">
        <v>1414</v>
      </c>
      <c r="D114" t="s">
        <v>991</v>
      </c>
      <c r="E114" t="s">
        <v>1483</v>
      </c>
      <c r="F114" t="s">
        <v>1484</v>
      </c>
      <c r="G114" t="s">
        <v>1485</v>
      </c>
      <c r="H114" t="s">
        <v>1486</v>
      </c>
      <c r="I114" t="s">
        <v>996</v>
      </c>
      <c r="J114" t="s">
        <v>997</v>
      </c>
      <c r="K114" t="s">
        <v>998</v>
      </c>
    </row>
    <row r="115" spans="1:11" x14ac:dyDescent="0.15">
      <c r="A115" t="s">
        <v>1487</v>
      </c>
      <c r="B115" t="s">
        <v>1488</v>
      </c>
      <c r="C115" t="s">
        <v>1489</v>
      </c>
      <c r="D115" t="s">
        <v>991</v>
      </c>
      <c r="E115" t="s">
        <v>1490</v>
      </c>
      <c r="F115" t="s">
        <v>1491</v>
      </c>
      <c r="G115" t="s">
        <v>1492</v>
      </c>
      <c r="H115" t="s">
        <v>1493</v>
      </c>
      <c r="I115" t="s">
        <v>996</v>
      </c>
      <c r="J115" t="s">
        <v>997</v>
      </c>
      <c r="K115" t="s">
        <v>998</v>
      </c>
    </row>
    <row r="116" spans="1:11" x14ac:dyDescent="0.15">
      <c r="A116" t="s">
        <v>1494</v>
      </c>
      <c r="B116" t="s">
        <v>1495</v>
      </c>
      <c r="C116" t="s">
        <v>1489</v>
      </c>
      <c r="D116" t="s">
        <v>991</v>
      </c>
      <c r="E116" t="s">
        <v>1496</v>
      </c>
      <c r="F116" t="s">
        <v>862</v>
      </c>
      <c r="G116" t="s">
        <v>1497</v>
      </c>
      <c r="H116" t="s">
        <v>860</v>
      </c>
      <c r="I116" t="s">
        <v>996</v>
      </c>
      <c r="J116" t="s">
        <v>997</v>
      </c>
      <c r="K116" t="s">
        <v>998</v>
      </c>
    </row>
    <row r="117" spans="1:11" x14ac:dyDescent="0.15">
      <c r="A117" t="s">
        <v>1498</v>
      </c>
      <c r="B117" t="s">
        <v>1499</v>
      </c>
      <c r="D117" t="s">
        <v>991</v>
      </c>
      <c r="E117" t="s">
        <v>1500</v>
      </c>
      <c r="F117" t="s">
        <v>1501</v>
      </c>
      <c r="G117" t="s">
        <v>1502</v>
      </c>
      <c r="H117" t="s">
        <v>1503</v>
      </c>
      <c r="I117" t="s">
        <v>996</v>
      </c>
      <c r="J117" t="s">
        <v>997</v>
      </c>
      <c r="K117" t="s">
        <v>998</v>
      </c>
    </row>
    <row r="118" spans="1:11" x14ac:dyDescent="0.15">
      <c r="A118" t="s">
        <v>1498</v>
      </c>
      <c r="B118" t="s">
        <v>1499</v>
      </c>
      <c r="D118" t="s">
        <v>991</v>
      </c>
      <c r="E118" t="s">
        <v>1504</v>
      </c>
      <c r="F118" t="s">
        <v>1505</v>
      </c>
      <c r="G118" t="s">
        <v>1506</v>
      </c>
      <c r="H118" t="s">
        <v>1507</v>
      </c>
      <c r="I118" t="s">
        <v>996</v>
      </c>
      <c r="J118" t="s">
        <v>997</v>
      </c>
      <c r="K118" t="s">
        <v>998</v>
      </c>
    </row>
    <row r="119" spans="1:11" x14ac:dyDescent="0.15">
      <c r="A119" t="s">
        <v>1498</v>
      </c>
      <c r="B119" t="s">
        <v>1499</v>
      </c>
      <c r="D119" t="s">
        <v>991</v>
      </c>
      <c r="E119" t="s">
        <v>1508</v>
      </c>
      <c r="F119" t="s">
        <v>1509</v>
      </c>
      <c r="G119" t="s">
        <v>1510</v>
      </c>
      <c r="H119" t="s">
        <v>1511</v>
      </c>
      <c r="I119" t="s">
        <v>996</v>
      </c>
      <c r="J119" t="s">
        <v>997</v>
      </c>
      <c r="K119" t="s">
        <v>998</v>
      </c>
    </row>
    <row r="120" spans="1:11" x14ac:dyDescent="0.15">
      <c r="A120" t="s">
        <v>1512</v>
      </c>
      <c r="B120" t="s">
        <v>1513</v>
      </c>
      <c r="D120" t="s">
        <v>991</v>
      </c>
      <c r="E120" t="s">
        <v>1514</v>
      </c>
      <c r="F120" t="s">
        <v>888</v>
      </c>
      <c r="G120" t="s">
        <v>1515</v>
      </c>
      <c r="H120" t="s">
        <v>886</v>
      </c>
      <c r="I120" t="s">
        <v>996</v>
      </c>
      <c r="J120" t="s">
        <v>997</v>
      </c>
      <c r="K120" t="s">
        <v>998</v>
      </c>
    </row>
    <row r="121" spans="1:11" x14ac:dyDescent="0.15">
      <c r="A121" t="s">
        <v>1516</v>
      </c>
      <c r="B121" t="s">
        <v>1517</v>
      </c>
      <c r="D121" t="s">
        <v>991</v>
      </c>
      <c r="E121" t="s">
        <v>1518</v>
      </c>
      <c r="F121" t="s">
        <v>1519</v>
      </c>
      <c r="G121" t="s">
        <v>1520</v>
      </c>
      <c r="H121" t="s">
        <v>1521</v>
      </c>
      <c r="I121" t="s">
        <v>996</v>
      </c>
      <c r="J121" t="s">
        <v>997</v>
      </c>
      <c r="K121" t="s">
        <v>998</v>
      </c>
    </row>
    <row r="122" spans="1:11" x14ac:dyDescent="0.15">
      <c r="A122" t="s">
        <v>1522</v>
      </c>
      <c r="B122" t="s">
        <v>1523</v>
      </c>
      <c r="D122" t="s">
        <v>991</v>
      </c>
      <c r="E122" t="s">
        <v>1524</v>
      </c>
      <c r="F122" t="s">
        <v>1525</v>
      </c>
      <c r="G122" t="s">
        <v>1526</v>
      </c>
      <c r="H122" t="s">
        <v>1527</v>
      </c>
      <c r="I122" t="s">
        <v>996</v>
      </c>
      <c r="J122" t="s">
        <v>997</v>
      </c>
      <c r="K122" t="s">
        <v>998</v>
      </c>
    </row>
    <row r="123" spans="1:11" x14ac:dyDescent="0.15">
      <c r="A123" t="s">
        <v>1522</v>
      </c>
      <c r="B123" t="s">
        <v>1523</v>
      </c>
      <c r="D123" t="s">
        <v>991</v>
      </c>
      <c r="E123" t="s">
        <v>1528</v>
      </c>
      <c r="F123" t="s">
        <v>1529</v>
      </c>
      <c r="G123" t="s">
        <v>1530</v>
      </c>
      <c r="H123" t="s">
        <v>1531</v>
      </c>
      <c r="I123" t="s">
        <v>996</v>
      </c>
      <c r="J123" t="s">
        <v>997</v>
      </c>
      <c r="K123" t="s">
        <v>998</v>
      </c>
    </row>
    <row r="124" spans="1:11" x14ac:dyDescent="0.15">
      <c r="A124" t="s">
        <v>1532</v>
      </c>
      <c r="B124" t="s">
        <v>1533</v>
      </c>
      <c r="D124" t="s">
        <v>991</v>
      </c>
      <c r="E124" t="s">
        <v>1534</v>
      </c>
      <c r="F124" t="s">
        <v>550</v>
      </c>
      <c r="G124" t="s">
        <v>1535</v>
      </c>
      <c r="H124" t="s">
        <v>548</v>
      </c>
      <c r="I124" t="s">
        <v>996</v>
      </c>
      <c r="J124" t="s">
        <v>997</v>
      </c>
      <c r="K124" t="s">
        <v>998</v>
      </c>
    </row>
    <row r="125" spans="1:11" x14ac:dyDescent="0.15">
      <c r="A125" t="s">
        <v>1532</v>
      </c>
      <c r="B125" t="s">
        <v>1533</v>
      </c>
      <c r="D125" t="s">
        <v>991</v>
      </c>
      <c r="E125" t="s">
        <v>1536</v>
      </c>
      <c r="F125" t="s">
        <v>1537</v>
      </c>
      <c r="G125" t="s">
        <v>1538</v>
      </c>
      <c r="H125" t="s">
        <v>1539</v>
      </c>
      <c r="I125" t="s">
        <v>996</v>
      </c>
      <c r="J125" t="s">
        <v>997</v>
      </c>
      <c r="K125" t="s">
        <v>998</v>
      </c>
    </row>
    <row r="126" spans="1:11" x14ac:dyDescent="0.15">
      <c r="A126" t="s">
        <v>1540</v>
      </c>
      <c r="B126" t="s">
        <v>1541</v>
      </c>
      <c r="D126" t="s">
        <v>991</v>
      </c>
      <c r="E126" t="s">
        <v>1542</v>
      </c>
      <c r="F126" t="s">
        <v>1543</v>
      </c>
      <c r="G126" t="s">
        <v>1544</v>
      </c>
      <c r="H126" t="s">
        <v>1545</v>
      </c>
      <c r="I126" t="s">
        <v>996</v>
      </c>
      <c r="J126" t="s">
        <v>997</v>
      </c>
      <c r="K126" t="s">
        <v>998</v>
      </c>
    </row>
    <row r="127" spans="1:11" x14ac:dyDescent="0.15">
      <c r="A127" t="s">
        <v>1546</v>
      </c>
      <c r="B127" t="s">
        <v>1547</v>
      </c>
      <c r="D127" t="s">
        <v>991</v>
      </c>
      <c r="E127" t="s">
        <v>1548</v>
      </c>
      <c r="F127" t="s">
        <v>1549</v>
      </c>
      <c r="G127" t="s">
        <v>1550</v>
      </c>
      <c r="H127" t="s">
        <v>1551</v>
      </c>
      <c r="I127" t="s">
        <v>996</v>
      </c>
      <c r="J127" t="s">
        <v>997</v>
      </c>
      <c r="K127" t="s">
        <v>998</v>
      </c>
    </row>
    <row r="128" spans="1:11" x14ac:dyDescent="0.15">
      <c r="A128" t="s">
        <v>1552</v>
      </c>
      <c r="B128" t="s">
        <v>1553</v>
      </c>
      <c r="D128" t="s">
        <v>991</v>
      </c>
      <c r="E128" t="s">
        <v>1554</v>
      </c>
      <c r="F128" t="s">
        <v>1555</v>
      </c>
      <c r="G128" t="s">
        <v>1556</v>
      </c>
      <c r="H128" t="s">
        <v>1557</v>
      </c>
      <c r="I128" t="s">
        <v>996</v>
      </c>
      <c r="J128" t="s">
        <v>997</v>
      </c>
      <c r="K128" t="s">
        <v>998</v>
      </c>
    </row>
    <row r="129" spans="1:11" x14ac:dyDescent="0.15">
      <c r="A129" t="s">
        <v>1558</v>
      </c>
      <c r="B129" t="s">
        <v>1559</v>
      </c>
      <c r="D129" t="s">
        <v>991</v>
      </c>
      <c r="E129" t="s">
        <v>1560</v>
      </c>
      <c r="F129" t="s">
        <v>1561</v>
      </c>
      <c r="G129" t="s">
        <v>1562</v>
      </c>
      <c r="H129" t="s">
        <v>1563</v>
      </c>
      <c r="I129" t="s">
        <v>996</v>
      </c>
      <c r="J129" t="s">
        <v>997</v>
      </c>
      <c r="K129" t="s">
        <v>998</v>
      </c>
    </row>
    <row r="130" spans="1:11" x14ac:dyDescent="0.15">
      <c r="A130" t="s">
        <v>1558</v>
      </c>
      <c r="B130" t="s">
        <v>1559</v>
      </c>
      <c r="D130" t="s">
        <v>991</v>
      </c>
      <c r="E130" t="s">
        <v>1564</v>
      </c>
      <c r="F130" t="s">
        <v>706</v>
      </c>
      <c r="G130" t="s">
        <v>1565</v>
      </c>
      <c r="H130" t="s">
        <v>704</v>
      </c>
      <c r="I130" t="s">
        <v>996</v>
      </c>
      <c r="J130" t="s">
        <v>997</v>
      </c>
      <c r="K130" t="s">
        <v>998</v>
      </c>
    </row>
    <row r="131" spans="1:11" x14ac:dyDescent="0.15">
      <c r="A131" t="s">
        <v>1566</v>
      </c>
      <c r="B131" t="s">
        <v>1567</v>
      </c>
      <c r="D131" t="s">
        <v>991</v>
      </c>
      <c r="E131" t="s">
        <v>1568</v>
      </c>
      <c r="F131" t="s">
        <v>1567</v>
      </c>
      <c r="G131" t="s">
        <v>1569</v>
      </c>
      <c r="H131" t="s">
        <v>1570</v>
      </c>
      <c r="I131" t="s">
        <v>996</v>
      </c>
      <c r="J131" t="s">
        <v>997</v>
      </c>
      <c r="K131" t="s">
        <v>998</v>
      </c>
    </row>
    <row r="132" spans="1:11" x14ac:dyDescent="0.15">
      <c r="A132" t="s">
        <v>1571</v>
      </c>
      <c r="B132" t="s">
        <v>1572</v>
      </c>
      <c r="D132" t="s">
        <v>991</v>
      </c>
      <c r="E132" t="s">
        <v>1573</v>
      </c>
      <c r="F132" t="s">
        <v>712</v>
      </c>
      <c r="G132" t="s">
        <v>1574</v>
      </c>
      <c r="H132" t="s">
        <v>710</v>
      </c>
      <c r="I132" t="s">
        <v>996</v>
      </c>
      <c r="J132" t="s">
        <v>997</v>
      </c>
      <c r="K132" t="s">
        <v>998</v>
      </c>
    </row>
    <row r="133" spans="1:11" x14ac:dyDescent="0.15">
      <c r="A133" t="s">
        <v>1571</v>
      </c>
      <c r="B133" t="s">
        <v>1572</v>
      </c>
      <c r="D133" t="s">
        <v>991</v>
      </c>
      <c r="E133" t="s">
        <v>1575</v>
      </c>
      <c r="F133" t="s">
        <v>715</v>
      </c>
      <c r="G133" t="s">
        <v>1576</v>
      </c>
      <c r="H133" t="s">
        <v>713</v>
      </c>
      <c r="I133" t="s">
        <v>996</v>
      </c>
      <c r="J133" t="s">
        <v>997</v>
      </c>
      <c r="K133" t="s">
        <v>998</v>
      </c>
    </row>
    <row r="134" spans="1:11" x14ac:dyDescent="0.15">
      <c r="A134" t="s">
        <v>1577</v>
      </c>
      <c r="B134" t="s">
        <v>1578</v>
      </c>
      <c r="D134" t="s">
        <v>991</v>
      </c>
      <c r="E134" t="s">
        <v>1579</v>
      </c>
      <c r="F134" t="s">
        <v>1580</v>
      </c>
      <c r="G134" t="s">
        <v>1581</v>
      </c>
      <c r="H134" t="s">
        <v>1582</v>
      </c>
      <c r="I134" t="s">
        <v>996</v>
      </c>
      <c r="J134" t="s">
        <v>997</v>
      </c>
      <c r="K134" t="s">
        <v>998</v>
      </c>
    </row>
    <row r="135" spans="1:11" x14ac:dyDescent="0.15">
      <c r="A135" t="s">
        <v>1577</v>
      </c>
      <c r="B135" t="s">
        <v>1578</v>
      </c>
      <c r="D135" t="s">
        <v>991</v>
      </c>
      <c r="E135" t="s">
        <v>1583</v>
      </c>
      <c r="F135" t="s">
        <v>709</v>
      </c>
      <c r="G135" t="s">
        <v>1584</v>
      </c>
      <c r="H135" t="s">
        <v>707</v>
      </c>
      <c r="I135" t="s">
        <v>996</v>
      </c>
      <c r="J135" t="s">
        <v>997</v>
      </c>
      <c r="K135" t="s">
        <v>998</v>
      </c>
    </row>
    <row r="136" spans="1:11" x14ac:dyDescent="0.15">
      <c r="A136" t="s">
        <v>1585</v>
      </c>
      <c r="B136" t="s">
        <v>1586</v>
      </c>
      <c r="C136" t="s">
        <v>1489</v>
      </c>
      <c r="D136" t="s">
        <v>991</v>
      </c>
      <c r="E136" t="s">
        <v>1587</v>
      </c>
      <c r="F136" t="s">
        <v>638</v>
      </c>
      <c r="G136" t="s">
        <v>1588</v>
      </c>
      <c r="H136" t="s">
        <v>636</v>
      </c>
      <c r="I136" t="s">
        <v>996</v>
      </c>
      <c r="J136" t="s">
        <v>997</v>
      </c>
      <c r="K136" t="s">
        <v>998</v>
      </c>
    </row>
    <row r="137" spans="1:11" x14ac:dyDescent="0.15">
      <c r="A137" t="s">
        <v>1585</v>
      </c>
      <c r="B137" t="s">
        <v>1586</v>
      </c>
      <c r="C137" t="s">
        <v>1489</v>
      </c>
      <c r="D137" t="s">
        <v>991</v>
      </c>
      <c r="E137" t="s">
        <v>1589</v>
      </c>
      <c r="F137" t="s">
        <v>645</v>
      </c>
      <c r="G137" t="s">
        <v>1590</v>
      </c>
      <c r="H137" t="s">
        <v>643</v>
      </c>
      <c r="I137" t="s">
        <v>996</v>
      </c>
      <c r="J137" t="s">
        <v>997</v>
      </c>
      <c r="K137" t="s">
        <v>998</v>
      </c>
    </row>
    <row r="138" spans="1:11" x14ac:dyDescent="0.15">
      <c r="A138" t="s">
        <v>1585</v>
      </c>
      <c r="B138" t="s">
        <v>1586</v>
      </c>
      <c r="C138" t="s">
        <v>1489</v>
      </c>
      <c r="D138" t="s">
        <v>991</v>
      </c>
      <c r="E138" t="s">
        <v>1591</v>
      </c>
      <c r="F138" t="s">
        <v>641</v>
      </c>
      <c r="G138" t="s">
        <v>1592</v>
      </c>
      <c r="H138" t="s">
        <v>639</v>
      </c>
      <c r="I138" t="s">
        <v>996</v>
      </c>
      <c r="J138" t="s">
        <v>997</v>
      </c>
      <c r="K138" t="s">
        <v>998</v>
      </c>
    </row>
    <row r="139" spans="1:11" x14ac:dyDescent="0.15">
      <c r="A139" t="s">
        <v>1585</v>
      </c>
      <c r="B139" t="s">
        <v>1586</v>
      </c>
      <c r="C139" t="s">
        <v>1489</v>
      </c>
      <c r="D139" t="s">
        <v>991</v>
      </c>
      <c r="E139" t="s">
        <v>1593</v>
      </c>
      <c r="F139" t="s">
        <v>653</v>
      </c>
      <c r="G139" t="s">
        <v>1594</v>
      </c>
      <c r="H139" t="s">
        <v>651</v>
      </c>
      <c r="I139" t="s">
        <v>996</v>
      </c>
      <c r="J139" t="s">
        <v>997</v>
      </c>
      <c r="K139" t="s">
        <v>998</v>
      </c>
    </row>
    <row r="140" spans="1:11" x14ac:dyDescent="0.15">
      <c r="A140" t="s">
        <v>1585</v>
      </c>
      <c r="B140" t="s">
        <v>1586</v>
      </c>
      <c r="C140" t="s">
        <v>1489</v>
      </c>
      <c r="D140" t="s">
        <v>991</v>
      </c>
      <c r="E140" t="s">
        <v>1595</v>
      </c>
      <c r="F140" t="s">
        <v>649</v>
      </c>
      <c r="G140" t="s">
        <v>1596</v>
      </c>
      <c r="H140" t="s">
        <v>647</v>
      </c>
      <c r="I140" t="s">
        <v>996</v>
      </c>
      <c r="J140" t="s">
        <v>997</v>
      </c>
      <c r="K140" t="s">
        <v>998</v>
      </c>
    </row>
    <row r="141" spans="1:11" x14ac:dyDescent="0.15">
      <c r="A141" t="s">
        <v>1597</v>
      </c>
      <c r="B141" t="s">
        <v>1598</v>
      </c>
      <c r="D141" t="s">
        <v>991</v>
      </c>
      <c r="E141" t="s">
        <v>1599</v>
      </c>
      <c r="F141" t="s">
        <v>1600</v>
      </c>
      <c r="G141" t="s">
        <v>1601</v>
      </c>
      <c r="H141" t="s">
        <v>1602</v>
      </c>
      <c r="I141" t="s">
        <v>996</v>
      </c>
      <c r="J141" t="s">
        <v>997</v>
      </c>
      <c r="K141" t="s">
        <v>998</v>
      </c>
    </row>
    <row r="142" spans="1:11" x14ac:dyDescent="0.15">
      <c r="A142" t="s">
        <v>1597</v>
      </c>
      <c r="B142" t="s">
        <v>1598</v>
      </c>
      <c r="D142" t="s">
        <v>991</v>
      </c>
      <c r="E142" t="s">
        <v>1603</v>
      </c>
      <c r="F142" t="s">
        <v>767</v>
      </c>
      <c r="G142" t="s">
        <v>1604</v>
      </c>
      <c r="H142" t="s">
        <v>765</v>
      </c>
      <c r="I142" t="s">
        <v>996</v>
      </c>
      <c r="J142" t="s">
        <v>997</v>
      </c>
      <c r="K142" t="s">
        <v>998</v>
      </c>
    </row>
    <row r="143" spans="1:11" x14ac:dyDescent="0.15">
      <c r="A143" t="s">
        <v>1605</v>
      </c>
      <c r="B143" t="s">
        <v>1606</v>
      </c>
      <c r="D143" t="s">
        <v>991</v>
      </c>
      <c r="E143" t="s">
        <v>1607</v>
      </c>
      <c r="F143" t="s">
        <v>1608</v>
      </c>
      <c r="G143" t="s">
        <v>1609</v>
      </c>
      <c r="H143" t="s">
        <v>1610</v>
      </c>
      <c r="I143" t="s">
        <v>996</v>
      </c>
      <c r="J143" t="s">
        <v>997</v>
      </c>
      <c r="K143" t="s">
        <v>998</v>
      </c>
    </row>
    <row r="144" spans="1:11" x14ac:dyDescent="0.15">
      <c r="A144" t="s">
        <v>1611</v>
      </c>
      <c r="B144" t="s">
        <v>1612</v>
      </c>
      <c r="D144" t="s">
        <v>991</v>
      </c>
      <c r="E144" t="s">
        <v>1613</v>
      </c>
      <c r="F144" t="s">
        <v>867</v>
      </c>
      <c r="G144" t="s">
        <v>1614</v>
      </c>
      <c r="H144" t="s">
        <v>865</v>
      </c>
      <c r="I144" t="s">
        <v>996</v>
      </c>
      <c r="J144" t="s">
        <v>997</v>
      </c>
      <c r="K144" t="s">
        <v>998</v>
      </c>
    </row>
    <row r="145" spans="1:11" x14ac:dyDescent="0.15">
      <c r="A145" t="s">
        <v>1615</v>
      </c>
      <c r="B145" t="s">
        <v>1616</v>
      </c>
      <c r="C145" t="s">
        <v>1489</v>
      </c>
      <c r="D145" t="s">
        <v>991</v>
      </c>
      <c r="E145" t="s">
        <v>1617</v>
      </c>
      <c r="F145" t="s">
        <v>1618</v>
      </c>
      <c r="G145" t="s">
        <v>1619</v>
      </c>
      <c r="H145" t="s">
        <v>1620</v>
      </c>
      <c r="I145" t="s">
        <v>996</v>
      </c>
      <c r="J145" t="s">
        <v>997</v>
      </c>
      <c r="K145" t="s">
        <v>998</v>
      </c>
    </row>
    <row r="146" spans="1:11" x14ac:dyDescent="0.15">
      <c r="A146" t="s">
        <v>1621</v>
      </c>
      <c r="B146" t="s">
        <v>1622</v>
      </c>
      <c r="D146" t="s">
        <v>991</v>
      </c>
      <c r="E146" t="s">
        <v>1623</v>
      </c>
      <c r="F146" t="s">
        <v>773</v>
      </c>
      <c r="G146" t="s">
        <v>1624</v>
      </c>
      <c r="H146" t="s">
        <v>771</v>
      </c>
      <c r="I146" t="s">
        <v>996</v>
      </c>
      <c r="J146" t="s">
        <v>997</v>
      </c>
      <c r="K146" t="s">
        <v>998</v>
      </c>
    </row>
    <row r="147" spans="1:11" x14ac:dyDescent="0.15">
      <c r="A147" t="s">
        <v>1621</v>
      </c>
      <c r="B147" t="s">
        <v>1622</v>
      </c>
      <c r="D147" t="s">
        <v>991</v>
      </c>
      <c r="E147" t="s">
        <v>1625</v>
      </c>
      <c r="F147" t="s">
        <v>770</v>
      </c>
      <c r="G147" t="s">
        <v>1626</v>
      </c>
      <c r="H147" t="s">
        <v>768</v>
      </c>
      <c r="I147" t="s">
        <v>996</v>
      </c>
      <c r="J147" t="s">
        <v>997</v>
      </c>
      <c r="K147" t="s">
        <v>998</v>
      </c>
    </row>
    <row r="148" spans="1:11" x14ac:dyDescent="0.15">
      <c r="A148" t="s">
        <v>1627</v>
      </c>
      <c r="B148" t="s">
        <v>1628</v>
      </c>
      <c r="D148" t="s">
        <v>991</v>
      </c>
      <c r="E148" t="s">
        <v>1629</v>
      </c>
      <c r="F148" t="s">
        <v>1630</v>
      </c>
      <c r="G148" t="s">
        <v>1631</v>
      </c>
      <c r="H148" t="s">
        <v>1632</v>
      </c>
      <c r="I148" t="s">
        <v>996</v>
      </c>
      <c r="J148" t="s">
        <v>997</v>
      </c>
      <c r="K148" t="s">
        <v>998</v>
      </c>
    </row>
    <row r="149" spans="1:11" x14ac:dyDescent="0.15">
      <c r="A149" t="s">
        <v>1633</v>
      </c>
      <c r="B149" t="s">
        <v>1634</v>
      </c>
      <c r="D149" t="s">
        <v>991</v>
      </c>
      <c r="E149" t="s">
        <v>1635</v>
      </c>
      <c r="F149" t="s">
        <v>682</v>
      </c>
      <c r="G149" t="s">
        <v>1636</v>
      </c>
      <c r="H149" t="s">
        <v>680</v>
      </c>
      <c r="I149" t="s">
        <v>996</v>
      </c>
      <c r="J149" t="s">
        <v>997</v>
      </c>
      <c r="K149" t="s">
        <v>998</v>
      </c>
    </row>
    <row r="150" spans="1:11" x14ac:dyDescent="0.15">
      <c r="A150" t="s">
        <v>1633</v>
      </c>
      <c r="B150" t="s">
        <v>1634</v>
      </c>
      <c r="D150" t="s">
        <v>991</v>
      </c>
      <c r="E150" t="s">
        <v>1637</v>
      </c>
      <c r="F150" t="s">
        <v>686</v>
      </c>
      <c r="G150" t="s">
        <v>1638</v>
      </c>
      <c r="H150" t="s">
        <v>684</v>
      </c>
      <c r="I150" t="s">
        <v>996</v>
      </c>
      <c r="J150" t="s">
        <v>997</v>
      </c>
      <c r="K150" t="s">
        <v>998</v>
      </c>
    </row>
    <row r="151" spans="1:11" x14ac:dyDescent="0.15">
      <c r="A151" t="s">
        <v>1639</v>
      </c>
      <c r="B151" t="s">
        <v>1640</v>
      </c>
      <c r="D151" t="s">
        <v>991</v>
      </c>
      <c r="E151" t="s">
        <v>1641</v>
      </c>
      <c r="F151" t="s">
        <v>1642</v>
      </c>
      <c r="G151" t="s">
        <v>1643</v>
      </c>
      <c r="H151" t="s">
        <v>1644</v>
      </c>
      <c r="I151" t="s">
        <v>996</v>
      </c>
      <c r="J151" t="s">
        <v>997</v>
      </c>
      <c r="K151" t="s">
        <v>998</v>
      </c>
    </row>
    <row r="152" spans="1:11" x14ac:dyDescent="0.15">
      <c r="A152" t="s">
        <v>1645</v>
      </c>
      <c r="B152" t="s">
        <v>1646</v>
      </c>
      <c r="D152" t="s">
        <v>991</v>
      </c>
      <c r="E152" t="s">
        <v>1647</v>
      </c>
      <c r="F152" t="s">
        <v>719</v>
      </c>
      <c r="G152" t="s">
        <v>1648</v>
      </c>
      <c r="H152" t="s">
        <v>717</v>
      </c>
      <c r="I152" t="s">
        <v>996</v>
      </c>
      <c r="J152" t="s">
        <v>997</v>
      </c>
      <c r="K152" t="s">
        <v>998</v>
      </c>
    </row>
    <row r="153" spans="1:11" x14ac:dyDescent="0.15">
      <c r="A153" t="s">
        <v>1645</v>
      </c>
      <c r="B153" t="s">
        <v>1646</v>
      </c>
      <c r="D153" t="s">
        <v>991</v>
      </c>
      <c r="E153" t="s">
        <v>1649</v>
      </c>
      <c r="F153" t="s">
        <v>722</v>
      </c>
      <c r="G153" t="s">
        <v>1650</v>
      </c>
      <c r="H153" t="s">
        <v>720</v>
      </c>
      <c r="I153" t="s">
        <v>996</v>
      </c>
      <c r="J153" t="s">
        <v>997</v>
      </c>
      <c r="K153" t="s">
        <v>998</v>
      </c>
    </row>
    <row r="154" spans="1:11" x14ac:dyDescent="0.15">
      <c r="A154" t="s">
        <v>1645</v>
      </c>
      <c r="B154" t="s">
        <v>1646</v>
      </c>
      <c r="D154" t="s">
        <v>991</v>
      </c>
      <c r="E154" t="s">
        <v>1651</v>
      </c>
      <c r="F154" t="s">
        <v>725</v>
      </c>
      <c r="G154" t="s">
        <v>1652</v>
      </c>
      <c r="H154" t="s">
        <v>723</v>
      </c>
      <c r="I154" t="s">
        <v>996</v>
      </c>
      <c r="J154" t="s">
        <v>997</v>
      </c>
      <c r="K154" t="s">
        <v>998</v>
      </c>
    </row>
    <row r="155" spans="1:11" x14ac:dyDescent="0.15">
      <c r="A155" t="s">
        <v>1653</v>
      </c>
      <c r="B155" t="s">
        <v>1654</v>
      </c>
      <c r="D155" t="s">
        <v>991</v>
      </c>
      <c r="E155" t="s">
        <v>1655</v>
      </c>
      <c r="F155" t="s">
        <v>1656</v>
      </c>
      <c r="G155" t="s">
        <v>1657</v>
      </c>
      <c r="H155" t="s">
        <v>1658</v>
      </c>
      <c r="I155" t="s">
        <v>996</v>
      </c>
      <c r="J155" t="s">
        <v>997</v>
      </c>
      <c r="K155" t="s">
        <v>998</v>
      </c>
    </row>
    <row r="156" spans="1:11" x14ac:dyDescent="0.15">
      <c r="A156" t="s">
        <v>1659</v>
      </c>
      <c r="B156" t="s">
        <v>1660</v>
      </c>
      <c r="D156" t="s">
        <v>991</v>
      </c>
      <c r="E156" t="s">
        <v>1661</v>
      </c>
      <c r="F156" t="s">
        <v>1662</v>
      </c>
      <c r="G156" t="s">
        <v>1663</v>
      </c>
      <c r="H156" t="s">
        <v>1664</v>
      </c>
      <c r="I156" t="s">
        <v>996</v>
      </c>
      <c r="J156" t="s">
        <v>997</v>
      </c>
      <c r="K156" t="s">
        <v>998</v>
      </c>
    </row>
    <row r="157" spans="1:11" x14ac:dyDescent="0.15">
      <c r="A157" t="s">
        <v>1665</v>
      </c>
      <c r="B157" t="s">
        <v>1666</v>
      </c>
      <c r="D157" t="s">
        <v>991</v>
      </c>
      <c r="E157" t="s">
        <v>1667</v>
      </c>
      <c r="F157" t="s">
        <v>1668</v>
      </c>
      <c r="G157" t="s">
        <v>1669</v>
      </c>
      <c r="H157" t="s">
        <v>1670</v>
      </c>
      <c r="I157" t="s">
        <v>996</v>
      </c>
      <c r="J157" t="s">
        <v>997</v>
      </c>
      <c r="K157" t="s">
        <v>998</v>
      </c>
    </row>
    <row r="158" spans="1:11" x14ac:dyDescent="0.15">
      <c r="A158" t="s">
        <v>1671</v>
      </c>
      <c r="B158" t="s">
        <v>1672</v>
      </c>
      <c r="D158" t="s">
        <v>991</v>
      </c>
      <c r="E158" t="s">
        <v>1673</v>
      </c>
      <c r="F158" t="s">
        <v>1674</v>
      </c>
      <c r="G158" t="s">
        <v>1675</v>
      </c>
      <c r="H158" t="s">
        <v>1676</v>
      </c>
      <c r="I158" t="s">
        <v>996</v>
      </c>
      <c r="J158" t="s">
        <v>997</v>
      </c>
      <c r="K158" t="s">
        <v>998</v>
      </c>
    </row>
    <row r="159" spans="1:11" x14ac:dyDescent="0.15">
      <c r="A159" t="s">
        <v>1677</v>
      </c>
      <c r="B159" t="s">
        <v>1678</v>
      </c>
      <c r="D159" t="s">
        <v>991</v>
      </c>
      <c r="E159" t="s">
        <v>1679</v>
      </c>
      <c r="F159" t="s">
        <v>1680</v>
      </c>
      <c r="G159" t="s">
        <v>1681</v>
      </c>
      <c r="H159" t="s">
        <v>1682</v>
      </c>
      <c r="I159" t="s">
        <v>996</v>
      </c>
      <c r="J159" t="s">
        <v>997</v>
      </c>
      <c r="K159" t="s">
        <v>998</v>
      </c>
    </row>
    <row r="160" spans="1:11" x14ac:dyDescent="0.15">
      <c r="A160" t="s">
        <v>1683</v>
      </c>
      <c r="B160" t="s">
        <v>1684</v>
      </c>
      <c r="D160" t="s">
        <v>991</v>
      </c>
      <c r="E160" t="s">
        <v>1685</v>
      </c>
      <c r="F160" t="s">
        <v>1686</v>
      </c>
      <c r="G160" t="s">
        <v>1687</v>
      </c>
      <c r="H160" t="s">
        <v>1688</v>
      </c>
      <c r="I160" t="s">
        <v>996</v>
      </c>
      <c r="J160" t="s">
        <v>997</v>
      </c>
      <c r="K160" t="s">
        <v>998</v>
      </c>
    </row>
    <row r="161" spans="1:11" x14ac:dyDescent="0.15">
      <c r="A161" t="s">
        <v>1683</v>
      </c>
      <c r="B161" t="s">
        <v>1684</v>
      </c>
      <c r="D161" t="s">
        <v>991</v>
      </c>
      <c r="E161" t="s">
        <v>1689</v>
      </c>
      <c r="F161" t="s">
        <v>1690</v>
      </c>
      <c r="G161" t="s">
        <v>1691</v>
      </c>
      <c r="H161" t="s">
        <v>1692</v>
      </c>
      <c r="I161" t="s">
        <v>996</v>
      </c>
      <c r="J161" t="s">
        <v>997</v>
      </c>
      <c r="K161" t="s">
        <v>998</v>
      </c>
    </row>
    <row r="162" spans="1:11" x14ac:dyDescent="0.15">
      <c r="A162" t="s">
        <v>1683</v>
      </c>
      <c r="B162" t="s">
        <v>1684</v>
      </c>
      <c r="D162" t="s">
        <v>991</v>
      </c>
      <c r="E162" t="s">
        <v>1693</v>
      </c>
      <c r="F162" t="s">
        <v>1694</v>
      </c>
      <c r="G162" t="s">
        <v>1695</v>
      </c>
      <c r="H162" t="s">
        <v>1696</v>
      </c>
      <c r="I162" t="s">
        <v>996</v>
      </c>
      <c r="J162" t="s">
        <v>997</v>
      </c>
      <c r="K162" t="s">
        <v>998</v>
      </c>
    </row>
    <row r="163" spans="1:11" x14ac:dyDescent="0.15">
      <c r="A163" t="s">
        <v>1683</v>
      </c>
      <c r="B163" t="s">
        <v>1684</v>
      </c>
      <c r="D163" t="s">
        <v>991</v>
      </c>
      <c r="E163" t="s">
        <v>1697</v>
      </c>
      <c r="F163" t="s">
        <v>1698</v>
      </c>
      <c r="G163" t="s">
        <v>1699</v>
      </c>
      <c r="H163" t="s">
        <v>1700</v>
      </c>
      <c r="I163" t="s">
        <v>996</v>
      </c>
      <c r="J163" t="s">
        <v>997</v>
      </c>
      <c r="K163" t="s">
        <v>998</v>
      </c>
    </row>
    <row r="164" spans="1:11" x14ac:dyDescent="0.15">
      <c r="A164" t="s">
        <v>1683</v>
      </c>
      <c r="B164" t="s">
        <v>1684</v>
      </c>
      <c r="D164" t="s">
        <v>991</v>
      </c>
      <c r="E164" t="s">
        <v>1701</v>
      </c>
      <c r="F164" t="s">
        <v>1702</v>
      </c>
      <c r="G164" t="s">
        <v>1703</v>
      </c>
      <c r="H164" t="s">
        <v>1704</v>
      </c>
      <c r="I164" t="s">
        <v>996</v>
      </c>
      <c r="J164" t="s">
        <v>997</v>
      </c>
      <c r="K164" t="s">
        <v>998</v>
      </c>
    </row>
    <row r="165" spans="1:11" x14ac:dyDescent="0.15">
      <c r="A165" t="s">
        <v>1683</v>
      </c>
      <c r="B165" t="s">
        <v>1684</v>
      </c>
      <c r="D165" t="s">
        <v>991</v>
      </c>
      <c r="E165" t="s">
        <v>1705</v>
      </c>
      <c r="F165" t="s">
        <v>1706</v>
      </c>
      <c r="G165" t="s">
        <v>1707</v>
      </c>
      <c r="H165" t="s">
        <v>1708</v>
      </c>
      <c r="I165" t="s">
        <v>996</v>
      </c>
      <c r="J165" t="s">
        <v>997</v>
      </c>
      <c r="K165" t="s">
        <v>998</v>
      </c>
    </row>
    <row r="166" spans="1:11" x14ac:dyDescent="0.15">
      <c r="A166" t="s">
        <v>1683</v>
      </c>
      <c r="B166" t="s">
        <v>1684</v>
      </c>
      <c r="D166" t="s">
        <v>991</v>
      </c>
      <c r="E166" t="s">
        <v>1709</v>
      </c>
      <c r="F166" t="s">
        <v>1710</v>
      </c>
      <c r="G166" t="s">
        <v>1711</v>
      </c>
      <c r="H166" t="s">
        <v>1712</v>
      </c>
      <c r="I166" t="s">
        <v>996</v>
      </c>
      <c r="J166" t="s">
        <v>997</v>
      </c>
      <c r="K166" t="s">
        <v>998</v>
      </c>
    </row>
    <row r="167" spans="1:11" x14ac:dyDescent="0.15">
      <c r="A167" t="s">
        <v>1683</v>
      </c>
      <c r="B167" t="s">
        <v>1684</v>
      </c>
      <c r="D167" t="s">
        <v>991</v>
      </c>
      <c r="E167" t="s">
        <v>1713</v>
      </c>
      <c r="F167" t="s">
        <v>1714</v>
      </c>
      <c r="G167" t="s">
        <v>1715</v>
      </c>
      <c r="H167" t="s">
        <v>1716</v>
      </c>
      <c r="I167" t="s">
        <v>996</v>
      </c>
      <c r="J167" t="s">
        <v>997</v>
      </c>
      <c r="K167" t="s">
        <v>998</v>
      </c>
    </row>
    <row r="168" spans="1:11" x14ac:dyDescent="0.15">
      <c r="A168" t="s">
        <v>1717</v>
      </c>
      <c r="B168" t="s">
        <v>1718</v>
      </c>
      <c r="D168" t="s">
        <v>991</v>
      </c>
      <c r="E168" t="s">
        <v>1719</v>
      </c>
      <c r="F168" t="s">
        <v>1720</v>
      </c>
      <c r="G168" t="s">
        <v>1721</v>
      </c>
      <c r="H168" t="s">
        <v>1722</v>
      </c>
      <c r="I168" t="s">
        <v>996</v>
      </c>
      <c r="J168" t="s">
        <v>997</v>
      </c>
      <c r="K168" t="s">
        <v>998</v>
      </c>
    </row>
    <row r="169" spans="1:11" x14ac:dyDescent="0.15">
      <c r="A169" t="s">
        <v>1717</v>
      </c>
      <c r="B169" t="s">
        <v>1718</v>
      </c>
      <c r="D169" t="s">
        <v>991</v>
      </c>
      <c r="E169" t="s">
        <v>1723</v>
      </c>
      <c r="F169" t="s">
        <v>1724</v>
      </c>
      <c r="G169" t="s">
        <v>1725</v>
      </c>
      <c r="H169" t="s">
        <v>1726</v>
      </c>
      <c r="I169" t="s">
        <v>996</v>
      </c>
      <c r="J169" t="s">
        <v>997</v>
      </c>
      <c r="K169" t="s">
        <v>998</v>
      </c>
    </row>
    <row r="170" spans="1:11" x14ac:dyDescent="0.15">
      <c r="A170" t="s">
        <v>1717</v>
      </c>
      <c r="B170" t="s">
        <v>1718</v>
      </c>
      <c r="D170" t="s">
        <v>991</v>
      </c>
      <c r="E170" t="s">
        <v>1727</v>
      </c>
      <c r="F170" t="s">
        <v>1728</v>
      </c>
      <c r="G170" t="s">
        <v>1729</v>
      </c>
      <c r="H170" t="s">
        <v>1730</v>
      </c>
      <c r="I170" t="s">
        <v>996</v>
      </c>
      <c r="J170" t="s">
        <v>997</v>
      </c>
      <c r="K170" t="s">
        <v>998</v>
      </c>
    </row>
    <row r="171" spans="1:11" x14ac:dyDescent="0.15">
      <c r="A171" t="s">
        <v>1731</v>
      </c>
      <c r="B171" t="s">
        <v>1732</v>
      </c>
      <c r="D171" t="s">
        <v>991</v>
      </c>
      <c r="E171" t="s">
        <v>1733</v>
      </c>
      <c r="F171" t="s">
        <v>1734</v>
      </c>
      <c r="G171" t="s">
        <v>1735</v>
      </c>
      <c r="H171" t="s">
        <v>1736</v>
      </c>
      <c r="I171" t="s">
        <v>996</v>
      </c>
      <c r="J171" t="s">
        <v>997</v>
      </c>
      <c r="K171" t="s">
        <v>998</v>
      </c>
    </row>
    <row r="172" spans="1:11" x14ac:dyDescent="0.15">
      <c r="A172" t="s">
        <v>1731</v>
      </c>
      <c r="B172" t="s">
        <v>1732</v>
      </c>
      <c r="D172" t="s">
        <v>991</v>
      </c>
      <c r="E172" t="s">
        <v>1737</v>
      </c>
      <c r="F172" t="s">
        <v>1738</v>
      </c>
      <c r="G172" t="s">
        <v>1739</v>
      </c>
      <c r="H172" t="s">
        <v>1740</v>
      </c>
      <c r="I172" t="s">
        <v>996</v>
      </c>
      <c r="J172" t="s">
        <v>997</v>
      </c>
      <c r="K172" t="s">
        <v>998</v>
      </c>
    </row>
    <row r="173" spans="1:11" x14ac:dyDescent="0.15">
      <c r="A173" t="s">
        <v>1731</v>
      </c>
      <c r="B173" t="s">
        <v>1732</v>
      </c>
      <c r="D173" t="s">
        <v>991</v>
      </c>
      <c r="E173" t="s">
        <v>1741</v>
      </c>
      <c r="F173" t="s">
        <v>1742</v>
      </c>
      <c r="G173" t="s">
        <v>1743</v>
      </c>
      <c r="H173" t="s">
        <v>1744</v>
      </c>
      <c r="I173" t="s">
        <v>996</v>
      </c>
      <c r="J173" t="s">
        <v>997</v>
      </c>
      <c r="K173" t="s">
        <v>998</v>
      </c>
    </row>
    <row r="174" spans="1:11" x14ac:dyDescent="0.15">
      <c r="A174" t="s">
        <v>1731</v>
      </c>
      <c r="B174" t="s">
        <v>1732</v>
      </c>
      <c r="D174" t="s">
        <v>991</v>
      </c>
      <c r="E174" t="s">
        <v>1745</v>
      </c>
      <c r="F174" t="s">
        <v>1746</v>
      </c>
      <c r="G174" t="s">
        <v>1747</v>
      </c>
      <c r="H174" t="s">
        <v>1748</v>
      </c>
      <c r="I174" t="s">
        <v>996</v>
      </c>
      <c r="J174" t="s">
        <v>997</v>
      </c>
      <c r="K174" t="s">
        <v>998</v>
      </c>
    </row>
    <row r="175" spans="1:11" x14ac:dyDescent="0.15">
      <c r="A175" t="s">
        <v>1731</v>
      </c>
      <c r="B175" t="s">
        <v>1732</v>
      </c>
      <c r="D175" t="s">
        <v>991</v>
      </c>
      <c r="E175" t="s">
        <v>1749</v>
      </c>
      <c r="F175" t="s">
        <v>1750</v>
      </c>
      <c r="G175" t="s">
        <v>1751</v>
      </c>
      <c r="H175" t="s">
        <v>1752</v>
      </c>
      <c r="I175" t="s">
        <v>996</v>
      </c>
      <c r="J175" t="s">
        <v>997</v>
      </c>
      <c r="K175" t="s">
        <v>998</v>
      </c>
    </row>
    <row r="176" spans="1:11" x14ac:dyDescent="0.15">
      <c r="A176" t="s">
        <v>1731</v>
      </c>
      <c r="B176" t="s">
        <v>1732</v>
      </c>
      <c r="D176" t="s">
        <v>991</v>
      </c>
      <c r="E176" t="s">
        <v>1753</v>
      </c>
      <c r="F176" t="s">
        <v>1754</v>
      </c>
      <c r="G176" t="s">
        <v>1755</v>
      </c>
      <c r="H176" t="s">
        <v>1756</v>
      </c>
      <c r="I176" t="s">
        <v>996</v>
      </c>
      <c r="J176" t="s">
        <v>997</v>
      </c>
      <c r="K176" t="s">
        <v>998</v>
      </c>
    </row>
    <row r="177" spans="1:11" x14ac:dyDescent="0.15">
      <c r="A177" t="s">
        <v>1731</v>
      </c>
      <c r="B177" t="s">
        <v>1732</v>
      </c>
      <c r="D177" t="s">
        <v>991</v>
      </c>
      <c r="E177" t="s">
        <v>1757</v>
      </c>
      <c r="F177" t="s">
        <v>1758</v>
      </c>
      <c r="G177" t="s">
        <v>1759</v>
      </c>
      <c r="H177" t="s">
        <v>1760</v>
      </c>
      <c r="I177" t="s">
        <v>996</v>
      </c>
      <c r="J177" t="s">
        <v>997</v>
      </c>
      <c r="K177" t="s">
        <v>998</v>
      </c>
    </row>
    <row r="178" spans="1:11" x14ac:dyDescent="0.15">
      <c r="A178" t="s">
        <v>1761</v>
      </c>
      <c r="B178" t="s">
        <v>1762</v>
      </c>
      <c r="D178" t="s">
        <v>991</v>
      </c>
      <c r="E178" t="s">
        <v>1763</v>
      </c>
      <c r="F178" t="s">
        <v>1764</v>
      </c>
      <c r="G178" t="s">
        <v>1765</v>
      </c>
      <c r="H178" t="s">
        <v>1766</v>
      </c>
      <c r="I178" t="s">
        <v>996</v>
      </c>
      <c r="J178" t="s">
        <v>997</v>
      </c>
      <c r="K178" t="s">
        <v>998</v>
      </c>
    </row>
    <row r="179" spans="1:11" x14ac:dyDescent="0.15">
      <c r="A179" t="s">
        <v>1761</v>
      </c>
      <c r="B179" t="s">
        <v>1762</v>
      </c>
      <c r="D179" t="s">
        <v>991</v>
      </c>
      <c r="E179" t="s">
        <v>1767</v>
      </c>
      <c r="F179" t="s">
        <v>1768</v>
      </c>
      <c r="G179" t="s">
        <v>1769</v>
      </c>
      <c r="H179" t="s">
        <v>1770</v>
      </c>
      <c r="I179" t="s">
        <v>996</v>
      </c>
      <c r="J179" t="s">
        <v>997</v>
      </c>
      <c r="K179" t="s">
        <v>998</v>
      </c>
    </row>
    <row r="180" spans="1:11" x14ac:dyDescent="0.15">
      <c r="A180" t="s">
        <v>1761</v>
      </c>
      <c r="B180" t="s">
        <v>1762</v>
      </c>
      <c r="D180" t="s">
        <v>991</v>
      </c>
      <c r="E180" t="s">
        <v>1771</v>
      </c>
      <c r="F180" t="s">
        <v>1772</v>
      </c>
      <c r="G180" t="s">
        <v>1773</v>
      </c>
      <c r="H180" t="s">
        <v>1774</v>
      </c>
      <c r="I180" t="s">
        <v>996</v>
      </c>
      <c r="J180" t="s">
        <v>997</v>
      </c>
      <c r="K180" t="s">
        <v>998</v>
      </c>
    </row>
    <row r="181" spans="1:11" x14ac:dyDescent="0.15">
      <c r="A181" t="s">
        <v>1761</v>
      </c>
      <c r="B181" t="s">
        <v>1762</v>
      </c>
      <c r="D181" t="s">
        <v>991</v>
      </c>
      <c r="E181" t="s">
        <v>1775</v>
      </c>
      <c r="F181" t="s">
        <v>1776</v>
      </c>
      <c r="G181" t="s">
        <v>1777</v>
      </c>
      <c r="H181" t="s">
        <v>1778</v>
      </c>
      <c r="I181" t="s">
        <v>996</v>
      </c>
      <c r="J181" t="s">
        <v>997</v>
      </c>
      <c r="K181" t="s">
        <v>998</v>
      </c>
    </row>
    <row r="182" spans="1:11" x14ac:dyDescent="0.15">
      <c r="A182" t="s">
        <v>1761</v>
      </c>
      <c r="B182" t="s">
        <v>1762</v>
      </c>
      <c r="D182" t="s">
        <v>991</v>
      </c>
      <c r="E182" t="s">
        <v>1779</v>
      </c>
      <c r="F182" t="s">
        <v>1780</v>
      </c>
      <c r="G182" t="s">
        <v>1781</v>
      </c>
      <c r="H182" t="s">
        <v>1782</v>
      </c>
      <c r="I182" t="s">
        <v>996</v>
      </c>
      <c r="J182" t="s">
        <v>997</v>
      </c>
      <c r="K182" t="s">
        <v>998</v>
      </c>
    </row>
    <row r="183" spans="1:11" x14ac:dyDescent="0.15">
      <c r="A183" t="s">
        <v>1761</v>
      </c>
      <c r="B183" t="s">
        <v>1762</v>
      </c>
      <c r="D183" t="s">
        <v>991</v>
      </c>
      <c r="E183" t="s">
        <v>1783</v>
      </c>
      <c r="F183" t="s">
        <v>1784</v>
      </c>
      <c r="G183" t="s">
        <v>1785</v>
      </c>
      <c r="H183" t="s">
        <v>1786</v>
      </c>
      <c r="I183" t="s">
        <v>996</v>
      </c>
      <c r="J183" t="s">
        <v>997</v>
      </c>
      <c r="K183" t="s">
        <v>998</v>
      </c>
    </row>
    <row r="184" spans="1:11" x14ac:dyDescent="0.15">
      <c r="A184" t="s">
        <v>1761</v>
      </c>
      <c r="B184" t="s">
        <v>1762</v>
      </c>
      <c r="D184" t="s">
        <v>991</v>
      </c>
      <c r="E184" t="s">
        <v>1787</v>
      </c>
      <c r="F184" t="s">
        <v>1788</v>
      </c>
      <c r="G184" t="s">
        <v>1789</v>
      </c>
      <c r="H184" t="s">
        <v>1790</v>
      </c>
      <c r="I184" t="s">
        <v>996</v>
      </c>
      <c r="J184" t="s">
        <v>997</v>
      </c>
      <c r="K184" t="s">
        <v>998</v>
      </c>
    </row>
    <row r="185" spans="1:11" x14ac:dyDescent="0.15">
      <c r="A185" t="s">
        <v>1791</v>
      </c>
      <c r="B185" t="s">
        <v>1792</v>
      </c>
      <c r="C185" t="s">
        <v>1793</v>
      </c>
      <c r="D185" t="s">
        <v>991</v>
      </c>
      <c r="E185" t="s">
        <v>1794</v>
      </c>
      <c r="F185" t="s">
        <v>1795</v>
      </c>
      <c r="G185" t="s">
        <v>1796</v>
      </c>
      <c r="H185" t="s">
        <v>1797</v>
      </c>
      <c r="I185" t="s">
        <v>996</v>
      </c>
      <c r="J185" t="s">
        <v>997</v>
      </c>
      <c r="K185" t="s">
        <v>998</v>
      </c>
    </row>
    <row r="186" spans="1:11" x14ac:dyDescent="0.15">
      <c r="A186" t="s">
        <v>1798</v>
      </c>
      <c r="B186" t="s">
        <v>1799</v>
      </c>
      <c r="D186" t="s">
        <v>991</v>
      </c>
      <c r="E186" t="s">
        <v>1800</v>
      </c>
      <c r="F186" t="s">
        <v>1801</v>
      </c>
      <c r="G186" t="s">
        <v>1802</v>
      </c>
      <c r="H186" t="s">
        <v>1803</v>
      </c>
      <c r="I186" t="s">
        <v>996</v>
      </c>
      <c r="J186" t="s">
        <v>997</v>
      </c>
      <c r="K186" t="s">
        <v>998</v>
      </c>
    </row>
    <row r="187" spans="1:11" x14ac:dyDescent="0.15">
      <c r="A187" t="s">
        <v>1804</v>
      </c>
      <c r="B187" t="s">
        <v>1805</v>
      </c>
      <c r="D187" t="s">
        <v>991</v>
      </c>
      <c r="E187" t="s">
        <v>1806</v>
      </c>
      <c r="F187" t="s">
        <v>1805</v>
      </c>
      <c r="G187" t="s">
        <v>1807</v>
      </c>
      <c r="H187" t="s">
        <v>1808</v>
      </c>
      <c r="I187" t="s">
        <v>996</v>
      </c>
      <c r="J187" t="s">
        <v>997</v>
      </c>
      <c r="K187" t="s">
        <v>998</v>
      </c>
    </row>
    <row r="188" spans="1:11" x14ac:dyDescent="0.15">
      <c r="A188" t="s">
        <v>1809</v>
      </c>
      <c r="B188" t="s">
        <v>1810</v>
      </c>
      <c r="D188" t="s">
        <v>991</v>
      </c>
      <c r="E188" t="s">
        <v>1811</v>
      </c>
      <c r="F188" t="s">
        <v>1810</v>
      </c>
      <c r="G188" t="s">
        <v>1812</v>
      </c>
      <c r="H188" t="s">
        <v>1813</v>
      </c>
      <c r="I188" t="s">
        <v>996</v>
      </c>
      <c r="J188" t="s">
        <v>997</v>
      </c>
      <c r="K188" t="s">
        <v>998</v>
      </c>
    </row>
    <row r="189" spans="1:11" x14ac:dyDescent="0.15">
      <c r="A189" t="s">
        <v>1814</v>
      </c>
      <c r="B189" t="s">
        <v>1815</v>
      </c>
      <c r="D189" t="s">
        <v>991</v>
      </c>
      <c r="E189" t="s">
        <v>1816</v>
      </c>
      <c r="F189" t="s">
        <v>1815</v>
      </c>
      <c r="G189" t="s">
        <v>1817</v>
      </c>
      <c r="H189" t="s">
        <v>1818</v>
      </c>
      <c r="I189" t="s">
        <v>996</v>
      </c>
      <c r="J189" t="s">
        <v>997</v>
      </c>
      <c r="K189" t="s">
        <v>998</v>
      </c>
    </row>
    <row r="190" spans="1:11" x14ac:dyDescent="0.15">
      <c r="A190" t="s">
        <v>1819</v>
      </c>
      <c r="B190" t="s">
        <v>1820</v>
      </c>
      <c r="D190" t="s">
        <v>991</v>
      </c>
      <c r="E190" t="s">
        <v>1821</v>
      </c>
      <c r="F190" t="s">
        <v>1820</v>
      </c>
      <c r="G190" t="s">
        <v>1822</v>
      </c>
      <c r="H190" t="s">
        <v>1823</v>
      </c>
      <c r="I190" t="s">
        <v>996</v>
      </c>
      <c r="J190" t="s">
        <v>997</v>
      </c>
      <c r="K190" t="s">
        <v>998</v>
      </c>
    </row>
    <row r="191" spans="1:11" x14ac:dyDescent="0.15">
      <c r="A191" t="s">
        <v>1824</v>
      </c>
      <c r="B191" t="s">
        <v>1825</v>
      </c>
      <c r="D191" t="s">
        <v>991</v>
      </c>
      <c r="E191" t="s">
        <v>1826</v>
      </c>
      <c r="F191" t="s">
        <v>1825</v>
      </c>
      <c r="G191" t="s">
        <v>1827</v>
      </c>
      <c r="H191" t="s">
        <v>1828</v>
      </c>
      <c r="I191" t="s">
        <v>996</v>
      </c>
      <c r="J191" t="s">
        <v>997</v>
      </c>
      <c r="K191" t="s">
        <v>998</v>
      </c>
    </row>
    <row r="192" spans="1:11" x14ac:dyDescent="0.15">
      <c r="A192" t="s">
        <v>1829</v>
      </c>
      <c r="B192" t="s">
        <v>1830</v>
      </c>
      <c r="D192" t="s">
        <v>991</v>
      </c>
      <c r="E192" t="s">
        <v>1831</v>
      </c>
      <c r="F192" t="s">
        <v>1832</v>
      </c>
      <c r="G192" t="s">
        <v>1833</v>
      </c>
      <c r="H192" t="s">
        <v>1834</v>
      </c>
      <c r="I192" t="s">
        <v>996</v>
      </c>
      <c r="J192" t="s">
        <v>997</v>
      </c>
      <c r="K192" t="s">
        <v>998</v>
      </c>
    </row>
    <row r="193" spans="1:11" x14ac:dyDescent="0.15">
      <c r="A193" t="s">
        <v>1835</v>
      </c>
      <c r="B193" t="s">
        <v>1836</v>
      </c>
      <c r="D193" t="s">
        <v>991</v>
      </c>
      <c r="E193" t="s">
        <v>1837</v>
      </c>
      <c r="F193" t="s">
        <v>1836</v>
      </c>
      <c r="G193" t="s">
        <v>1838</v>
      </c>
      <c r="H193" t="s">
        <v>1839</v>
      </c>
      <c r="I193" t="s">
        <v>996</v>
      </c>
      <c r="J193" t="s">
        <v>997</v>
      </c>
      <c r="K193" t="s">
        <v>998</v>
      </c>
    </row>
    <row r="194" spans="1:11" x14ac:dyDescent="0.15">
      <c r="A194" t="s">
        <v>1840</v>
      </c>
      <c r="B194" t="s">
        <v>1841</v>
      </c>
      <c r="D194" t="s">
        <v>991</v>
      </c>
      <c r="E194" t="s">
        <v>1842</v>
      </c>
      <c r="F194" t="s">
        <v>1841</v>
      </c>
      <c r="G194" t="s">
        <v>1843</v>
      </c>
      <c r="H194" t="s">
        <v>1844</v>
      </c>
      <c r="I194" t="s">
        <v>996</v>
      </c>
      <c r="J194" t="s">
        <v>997</v>
      </c>
      <c r="K194" t="s">
        <v>998</v>
      </c>
    </row>
    <row r="195" spans="1:11" x14ac:dyDescent="0.15">
      <c r="A195" t="s">
        <v>1845</v>
      </c>
      <c r="B195" t="s">
        <v>1846</v>
      </c>
      <c r="D195" t="s">
        <v>991</v>
      </c>
      <c r="E195" t="s">
        <v>1847</v>
      </c>
      <c r="F195" t="s">
        <v>1846</v>
      </c>
      <c r="G195" t="s">
        <v>1848</v>
      </c>
      <c r="H195" t="s">
        <v>1849</v>
      </c>
      <c r="I195" t="s">
        <v>996</v>
      </c>
      <c r="J195" t="s">
        <v>997</v>
      </c>
      <c r="K195" t="s">
        <v>998</v>
      </c>
    </row>
    <row r="196" spans="1:11" x14ac:dyDescent="0.15">
      <c r="A196" t="s">
        <v>1850</v>
      </c>
      <c r="B196" t="s">
        <v>1851</v>
      </c>
      <c r="D196" t="s">
        <v>991</v>
      </c>
      <c r="E196" t="s">
        <v>1852</v>
      </c>
      <c r="F196" t="s">
        <v>1851</v>
      </c>
      <c r="G196" t="s">
        <v>1853</v>
      </c>
      <c r="H196" t="s">
        <v>1854</v>
      </c>
      <c r="I196" t="s">
        <v>996</v>
      </c>
      <c r="J196" t="s">
        <v>997</v>
      </c>
      <c r="K196" t="s">
        <v>998</v>
      </c>
    </row>
    <row r="197" spans="1:11" x14ac:dyDescent="0.15">
      <c r="A197" t="s">
        <v>1855</v>
      </c>
      <c r="B197" t="s">
        <v>1856</v>
      </c>
      <c r="D197" t="s">
        <v>991</v>
      </c>
      <c r="E197" t="s">
        <v>1857</v>
      </c>
      <c r="F197" t="s">
        <v>1856</v>
      </c>
      <c r="G197" t="s">
        <v>1858</v>
      </c>
      <c r="H197" t="s">
        <v>1859</v>
      </c>
      <c r="I197" t="s">
        <v>996</v>
      </c>
      <c r="J197" t="s">
        <v>997</v>
      </c>
      <c r="K197" t="s">
        <v>998</v>
      </c>
    </row>
    <row r="198" spans="1:11" x14ac:dyDescent="0.15">
      <c r="A198" t="s">
        <v>1860</v>
      </c>
      <c r="B198" t="s">
        <v>1861</v>
      </c>
      <c r="D198" t="s">
        <v>991</v>
      </c>
      <c r="E198" t="s">
        <v>1862</v>
      </c>
      <c r="F198" t="s">
        <v>1863</v>
      </c>
      <c r="G198" t="s">
        <v>1864</v>
      </c>
      <c r="H198" t="s">
        <v>1865</v>
      </c>
      <c r="I198" t="s">
        <v>996</v>
      </c>
      <c r="J198" t="s">
        <v>997</v>
      </c>
      <c r="K198" t="s">
        <v>998</v>
      </c>
    </row>
    <row r="199" spans="1:11" x14ac:dyDescent="0.15">
      <c r="A199" t="s">
        <v>1860</v>
      </c>
      <c r="B199" t="s">
        <v>1861</v>
      </c>
      <c r="D199" t="s">
        <v>991</v>
      </c>
      <c r="E199" t="s">
        <v>1866</v>
      </c>
      <c r="F199" t="s">
        <v>1867</v>
      </c>
      <c r="G199" t="s">
        <v>1868</v>
      </c>
      <c r="H199" t="s">
        <v>1869</v>
      </c>
      <c r="I199" t="s">
        <v>996</v>
      </c>
      <c r="J199" t="s">
        <v>997</v>
      </c>
      <c r="K199" t="s">
        <v>998</v>
      </c>
    </row>
    <row r="200" spans="1:11" x14ac:dyDescent="0.15">
      <c r="A200" t="s">
        <v>1860</v>
      </c>
      <c r="B200" t="s">
        <v>1861</v>
      </c>
      <c r="D200" t="s">
        <v>991</v>
      </c>
      <c r="E200" t="s">
        <v>1870</v>
      </c>
      <c r="F200" t="s">
        <v>1871</v>
      </c>
      <c r="G200" t="s">
        <v>1872</v>
      </c>
      <c r="H200" t="s">
        <v>1873</v>
      </c>
      <c r="I200" t="s">
        <v>996</v>
      </c>
      <c r="J200" t="s">
        <v>997</v>
      </c>
      <c r="K200" t="s">
        <v>998</v>
      </c>
    </row>
    <row r="201" spans="1:11" x14ac:dyDescent="0.15">
      <c r="A201" t="s">
        <v>1874</v>
      </c>
      <c r="B201" t="s">
        <v>1875</v>
      </c>
      <c r="D201" t="s">
        <v>991</v>
      </c>
      <c r="E201" t="s">
        <v>1876</v>
      </c>
      <c r="F201" t="s">
        <v>1877</v>
      </c>
      <c r="G201" t="s">
        <v>1878</v>
      </c>
      <c r="H201" t="s">
        <v>1879</v>
      </c>
      <c r="I201" t="s">
        <v>996</v>
      </c>
      <c r="J201" t="s">
        <v>997</v>
      </c>
      <c r="K201" t="s">
        <v>998</v>
      </c>
    </row>
    <row r="202" spans="1:11" x14ac:dyDescent="0.15">
      <c r="A202" t="s">
        <v>1874</v>
      </c>
      <c r="B202" t="s">
        <v>1875</v>
      </c>
      <c r="D202" t="s">
        <v>991</v>
      </c>
      <c r="E202" t="s">
        <v>1880</v>
      </c>
      <c r="F202" t="s">
        <v>1881</v>
      </c>
      <c r="G202" t="s">
        <v>1882</v>
      </c>
      <c r="H202" t="s">
        <v>1883</v>
      </c>
      <c r="I202" t="s">
        <v>996</v>
      </c>
      <c r="J202" t="s">
        <v>997</v>
      </c>
      <c r="K202" t="s">
        <v>998</v>
      </c>
    </row>
    <row r="203" spans="1:11" x14ac:dyDescent="0.15">
      <c r="A203" t="s">
        <v>1874</v>
      </c>
      <c r="B203" t="s">
        <v>1875</v>
      </c>
      <c r="D203" t="s">
        <v>991</v>
      </c>
      <c r="E203" t="s">
        <v>1884</v>
      </c>
      <c r="F203" t="s">
        <v>1885</v>
      </c>
      <c r="G203" t="s">
        <v>1886</v>
      </c>
      <c r="H203" t="s">
        <v>1887</v>
      </c>
      <c r="I203" t="s">
        <v>996</v>
      </c>
      <c r="J203" t="s">
        <v>997</v>
      </c>
      <c r="K203" t="s">
        <v>998</v>
      </c>
    </row>
    <row r="204" spans="1:11" x14ac:dyDescent="0.15">
      <c r="A204" t="s">
        <v>1874</v>
      </c>
      <c r="B204" t="s">
        <v>1875</v>
      </c>
      <c r="D204" t="s">
        <v>991</v>
      </c>
      <c r="E204" t="s">
        <v>1888</v>
      </c>
      <c r="F204" t="s">
        <v>1889</v>
      </c>
      <c r="G204" t="s">
        <v>1890</v>
      </c>
      <c r="H204" t="s">
        <v>1891</v>
      </c>
      <c r="I204" t="s">
        <v>996</v>
      </c>
      <c r="J204" t="s">
        <v>997</v>
      </c>
      <c r="K204" t="s">
        <v>998</v>
      </c>
    </row>
    <row r="205" spans="1:11" x14ac:dyDescent="0.15">
      <c r="A205" t="s">
        <v>1892</v>
      </c>
      <c r="B205" t="s">
        <v>1893</v>
      </c>
      <c r="C205" t="s">
        <v>1793</v>
      </c>
      <c r="D205" t="s">
        <v>991</v>
      </c>
      <c r="E205" t="s">
        <v>1894</v>
      </c>
      <c r="F205" t="s">
        <v>564</v>
      </c>
      <c r="G205" t="s">
        <v>1895</v>
      </c>
      <c r="H205" t="s">
        <v>563</v>
      </c>
      <c r="I205" t="s">
        <v>996</v>
      </c>
      <c r="J205" t="s">
        <v>997</v>
      </c>
      <c r="K205" t="s">
        <v>998</v>
      </c>
    </row>
    <row r="206" spans="1:11" x14ac:dyDescent="0.15">
      <c r="A206" t="s">
        <v>1892</v>
      </c>
      <c r="B206" t="s">
        <v>1893</v>
      </c>
      <c r="C206" t="s">
        <v>1793</v>
      </c>
      <c r="D206" t="s">
        <v>991</v>
      </c>
      <c r="E206" t="s">
        <v>1896</v>
      </c>
      <c r="F206" t="s">
        <v>1897</v>
      </c>
      <c r="G206" t="s">
        <v>1898</v>
      </c>
      <c r="H206" t="s">
        <v>1899</v>
      </c>
      <c r="I206" t="s">
        <v>996</v>
      </c>
      <c r="J206" t="s">
        <v>997</v>
      </c>
      <c r="K206" t="s">
        <v>998</v>
      </c>
    </row>
    <row r="207" spans="1:11" x14ac:dyDescent="0.15">
      <c r="A207" t="s">
        <v>1900</v>
      </c>
      <c r="B207" t="s">
        <v>1901</v>
      </c>
      <c r="D207" t="s">
        <v>991</v>
      </c>
      <c r="E207" t="s">
        <v>1902</v>
      </c>
      <c r="F207" t="s">
        <v>1903</v>
      </c>
      <c r="G207" t="s">
        <v>1904</v>
      </c>
      <c r="H207" t="s">
        <v>1905</v>
      </c>
      <c r="I207" t="s">
        <v>996</v>
      </c>
      <c r="J207" t="s">
        <v>997</v>
      </c>
      <c r="K207" t="s">
        <v>998</v>
      </c>
    </row>
    <row r="208" spans="1:11" x14ac:dyDescent="0.15">
      <c r="A208" t="s">
        <v>1900</v>
      </c>
      <c r="B208" t="s">
        <v>1901</v>
      </c>
      <c r="D208" t="s">
        <v>991</v>
      </c>
      <c r="E208" t="s">
        <v>1906</v>
      </c>
      <c r="F208" t="s">
        <v>1907</v>
      </c>
      <c r="G208" t="s">
        <v>1908</v>
      </c>
      <c r="H208" t="s">
        <v>1909</v>
      </c>
      <c r="I208" t="s">
        <v>996</v>
      </c>
      <c r="J208" t="s">
        <v>997</v>
      </c>
      <c r="K208" t="s">
        <v>998</v>
      </c>
    </row>
    <row r="209" spans="1:11" x14ac:dyDescent="0.15">
      <c r="A209" t="s">
        <v>1900</v>
      </c>
      <c r="B209" t="s">
        <v>1901</v>
      </c>
      <c r="D209" t="s">
        <v>991</v>
      </c>
      <c r="E209" t="s">
        <v>1910</v>
      </c>
      <c r="F209" t="s">
        <v>1911</v>
      </c>
      <c r="G209" t="s">
        <v>1912</v>
      </c>
      <c r="H209" t="s">
        <v>1913</v>
      </c>
      <c r="I209" t="s">
        <v>996</v>
      </c>
      <c r="J209" t="s">
        <v>997</v>
      </c>
      <c r="K209" t="s">
        <v>998</v>
      </c>
    </row>
    <row r="210" spans="1:11" x14ac:dyDescent="0.15">
      <c r="A210" t="s">
        <v>1900</v>
      </c>
      <c r="B210" t="s">
        <v>1901</v>
      </c>
      <c r="D210" t="s">
        <v>991</v>
      </c>
      <c r="E210" t="s">
        <v>1914</v>
      </c>
      <c r="F210" t="s">
        <v>1915</v>
      </c>
      <c r="G210" t="s">
        <v>1916</v>
      </c>
      <c r="H210" t="s">
        <v>1917</v>
      </c>
      <c r="I210" t="s">
        <v>996</v>
      </c>
      <c r="J210" t="s">
        <v>997</v>
      </c>
      <c r="K210" t="s">
        <v>998</v>
      </c>
    </row>
    <row r="211" spans="1:11" x14ac:dyDescent="0.15">
      <c r="A211" t="s">
        <v>1918</v>
      </c>
      <c r="B211" t="s">
        <v>1919</v>
      </c>
      <c r="D211" t="s">
        <v>991</v>
      </c>
      <c r="E211" t="s">
        <v>1920</v>
      </c>
      <c r="F211" t="s">
        <v>1921</v>
      </c>
      <c r="G211" t="s">
        <v>1922</v>
      </c>
      <c r="H211" t="s">
        <v>1923</v>
      </c>
      <c r="I211" t="s">
        <v>996</v>
      </c>
      <c r="J211" t="s">
        <v>997</v>
      </c>
      <c r="K211" t="s">
        <v>998</v>
      </c>
    </row>
    <row r="212" spans="1:11" x14ac:dyDescent="0.15">
      <c r="A212" t="s">
        <v>1924</v>
      </c>
      <c r="B212" t="s">
        <v>1925</v>
      </c>
      <c r="D212" t="s">
        <v>991</v>
      </c>
      <c r="E212" t="s">
        <v>1926</v>
      </c>
      <c r="F212" t="s">
        <v>1927</v>
      </c>
      <c r="G212" t="s">
        <v>1928</v>
      </c>
      <c r="H212" t="s">
        <v>1929</v>
      </c>
      <c r="I212" t="s">
        <v>996</v>
      </c>
      <c r="J212" t="s">
        <v>997</v>
      </c>
      <c r="K212" t="s">
        <v>998</v>
      </c>
    </row>
    <row r="213" spans="1:11" x14ac:dyDescent="0.15">
      <c r="A213" t="s">
        <v>1924</v>
      </c>
      <c r="B213" t="s">
        <v>1925</v>
      </c>
      <c r="D213" t="s">
        <v>991</v>
      </c>
      <c r="E213" t="s">
        <v>1930</v>
      </c>
      <c r="F213" t="s">
        <v>1931</v>
      </c>
      <c r="G213" t="s">
        <v>1932</v>
      </c>
      <c r="H213" t="s">
        <v>1933</v>
      </c>
      <c r="I213" t="s">
        <v>996</v>
      </c>
      <c r="J213" t="s">
        <v>997</v>
      </c>
      <c r="K213" t="s">
        <v>998</v>
      </c>
    </row>
    <row r="214" spans="1:11" x14ac:dyDescent="0.15">
      <c r="A214" t="s">
        <v>1924</v>
      </c>
      <c r="B214" t="s">
        <v>1925</v>
      </c>
      <c r="D214" t="s">
        <v>991</v>
      </c>
      <c r="E214" t="s">
        <v>1934</v>
      </c>
      <c r="F214" t="s">
        <v>1935</v>
      </c>
      <c r="G214" t="s">
        <v>1936</v>
      </c>
      <c r="H214" t="s">
        <v>1937</v>
      </c>
      <c r="I214" t="s">
        <v>996</v>
      </c>
      <c r="J214" t="s">
        <v>997</v>
      </c>
      <c r="K214" t="s">
        <v>998</v>
      </c>
    </row>
    <row r="215" spans="1:11" x14ac:dyDescent="0.15">
      <c r="A215" t="s">
        <v>1924</v>
      </c>
      <c r="B215" t="s">
        <v>1925</v>
      </c>
      <c r="D215" t="s">
        <v>991</v>
      </c>
      <c r="E215" t="s">
        <v>1938</v>
      </c>
      <c r="F215" t="s">
        <v>1939</v>
      </c>
      <c r="G215" t="s">
        <v>1940</v>
      </c>
      <c r="H215" t="s">
        <v>1941</v>
      </c>
      <c r="I215" t="s">
        <v>996</v>
      </c>
      <c r="J215" t="s">
        <v>997</v>
      </c>
      <c r="K215" t="s">
        <v>998</v>
      </c>
    </row>
    <row r="216" spans="1:11" x14ac:dyDescent="0.15">
      <c r="A216" t="s">
        <v>1924</v>
      </c>
      <c r="B216" t="s">
        <v>1925</v>
      </c>
      <c r="D216" t="s">
        <v>991</v>
      </c>
      <c r="E216" t="s">
        <v>1942</v>
      </c>
      <c r="F216" t="s">
        <v>1943</v>
      </c>
      <c r="G216" t="s">
        <v>1944</v>
      </c>
      <c r="H216" t="s">
        <v>1945</v>
      </c>
      <c r="I216" t="s">
        <v>996</v>
      </c>
      <c r="J216" t="s">
        <v>997</v>
      </c>
      <c r="K216" t="s">
        <v>998</v>
      </c>
    </row>
    <row r="217" spans="1:11" x14ac:dyDescent="0.15">
      <c r="A217" t="s">
        <v>1924</v>
      </c>
      <c r="B217" t="s">
        <v>1925</v>
      </c>
      <c r="D217" t="s">
        <v>991</v>
      </c>
      <c r="E217" t="s">
        <v>1946</v>
      </c>
      <c r="F217" t="s">
        <v>1947</v>
      </c>
      <c r="G217" t="s">
        <v>1948</v>
      </c>
      <c r="H217" t="s">
        <v>1949</v>
      </c>
      <c r="I217" t="s">
        <v>996</v>
      </c>
      <c r="J217" t="s">
        <v>997</v>
      </c>
      <c r="K217" t="s">
        <v>998</v>
      </c>
    </row>
    <row r="218" spans="1:11" x14ac:dyDescent="0.15">
      <c r="A218" t="s">
        <v>1950</v>
      </c>
      <c r="B218" t="s">
        <v>1951</v>
      </c>
      <c r="D218" t="s">
        <v>991</v>
      </c>
      <c r="E218" t="s">
        <v>1952</v>
      </c>
      <c r="F218" t="s">
        <v>1953</v>
      </c>
      <c r="G218" t="s">
        <v>1954</v>
      </c>
      <c r="H218" t="s">
        <v>1955</v>
      </c>
      <c r="I218" t="s">
        <v>996</v>
      </c>
      <c r="J218" t="s">
        <v>997</v>
      </c>
      <c r="K218" t="s">
        <v>998</v>
      </c>
    </row>
    <row r="219" spans="1:11" x14ac:dyDescent="0.15">
      <c r="A219" t="s">
        <v>1950</v>
      </c>
      <c r="B219" t="s">
        <v>1951</v>
      </c>
      <c r="D219" t="s">
        <v>991</v>
      </c>
      <c r="E219" t="s">
        <v>1956</v>
      </c>
      <c r="F219" t="s">
        <v>1957</v>
      </c>
      <c r="G219" t="s">
        <v>1958</v>
      </c>
      <c r="H219" t="s">
        <v>1959</v>
      </c>
      <c r="I219" t="s">
        <v>996</v>
      </c>
      <c r="J219" t="s">
        <v>997</v>
      </c>
      <c r="K219" t="s">
        <v>998</v>
      </c>
    </row>
    <row r="220" spans="1:11" x14ac:dyDescent="0.15">
      <c r="A220" t="s">
        <v>1950</v>
      </c>
      <c r="B220" t="s">
        <v>1951</v>
      </c>
      <c r="D220" t="s">
        <v>991</v>
      </c>
      <c r="E220" t="s">
        <v>1960</v>
      </c>
      <c r="F220" t="s">
        <v>1961</v>
      </c>
      <c r="G220" t="s">
        <v>1962</v>
      </c>
      <c r="H220" t="s">
        <v>1963</v>
      </c>
      <c r="I220" t="s">
        <v>996</v>
      </c>
      <c r="J220" t="s">
        <v>997</v>
      </c>
      <c r="K220" t="s">
        <v>998</v>
      </c>
    </row>
    <row r="221" spans="1:11" x14ac:dyDescent="0.15">
      <c r="A221" t="s">
        <v>1950</v>
      </c>
      <c r="B221" t="s">
        <v>1951</v>
      </c>
      <c r="D221" t="s">
        <v>991</v>
      </c>
      <c r="E221" t="s">
        <v>1964</v>
      </c>
      <c r="F221" t="s">
        <v>1965</v>
      </c>
      <c r="G221" t="s">
        <v>1966</v>
      </c>
      <c r="H221" t="s">
        <v>1967</v>
      </c>
      <c r="I221" t="s">
        <v>996</v>
      </c>
      <c r="J221" t="s">
        <v>997</v>
      </c>
      <c r="K221" t="s">
        <v>998</v>
      </c>
    </row>
    <row r="222" spans="1:11" x14ac:dyDescent="0.15">
      <c r="A222" t="s">
        <v>1968</v>
      </c>
      <c r="B222" t="s">
        <v>1969</v>
      </c>
      <c r="D222" t="s">
        <v>991</v>
      </c>
      <c r="E222" t="s">
        <v>1970</v>
      </c>
      <c r="F222" t="s">
        <v>1971</v>
      </c>
      <c r="G222" t="s">
        <v>1972</v>
      </c>
      <c r="H222" t="s">
        <v>1973</v>
      </c>
      <c r="I222" t="s">
        <v>996</v>
      </c>
      <c r="J222" t="s">
        <v>997</v>
      </c>
      <c r="K222" t="s">
        <v>998</v>
      </c>
    </row>
    <row r="223" spans="1:11" x14ac:dyDescent="0.15">
      <c r="A223" t="s">
        <v>1974</v>
      </c>
      <c r="B223" t="s">
        <v>1975</v>
      </c>
      <c r="D223" t="s">
        <v>991</v>
      </c>
      <c r="E223" t="s">
        <v>1976</v>
      </c>
      <c r="F223" t="s">
        <v>1977</v>
      </c>
      <c r="G223" t="s">
        <v>1978</v>
      </c>
      <c r="H223" t="s">
        <v>1979</v>
      </c>
      <c r="I223" t="s">
        <v>996</v>
      </c>
      <c r="J223" t="s">
        <v>997</v>
      </c>
      <c r="K223" t="s">
        <v>998</v>
      </c>
    </row>
    <row r="224" spans="1:11" x14ac:dyDescent="0.15">
      <c r="A224" t="s">
        <v>1974</v>
      </c>
      <c r="B224" t="s">
        <v>1975</v>
      </c>
      <c r="D224" t="s">
        <v>991</v>
      </c>
      <c r="E224" t="s">
        <v>1980</v>
      </c>
      <c r="F224" t="s">
        <v>1975</v>
      </c>
      <c r="G224" t="s">
        <v>1981</v>
      </c>
      <c r="H224" t="s">
        <v>1982</v>
      </c>
      <c r="I224" t="s">
        <v>996</v>
      </c>
      <c r="J224" t="s">
        <v>997</v>
      </c>
      <c r="K224" t="s">
        <v>998</v>
      </c>
    </row>
    <row r="225" spans="1:11" x14ac:dyDescent="0.15">
      <c r="A225" t="s">
        <v>1983</v>
      </c>
      <c r="B225" t="s">
        <v>1984</v>
      </c>
      <c r="D225" t="s">
        <v>991</v>
      </c>
      <c r="E225" t="s">
        <v>1985</v>
      </c>
      <c r="F225" t="s">
        <v>1986</v>
      </c>
      <c r="G225" t="s">
        <v>1987</v>
      </c>
      <c r="H225" t="s">
        <v>1988</v>
      </c>
      <c r="I225" t="s">
        <v>996</v>
      </c>
      <c r="J225" t="s">
        <v>997</v>
      </c>
      <c r="K225" t="s">
        <v>998</v>
      </c>
    </row>
    <row r="226" spans="1:11" x14ac:dyDescent="0.15">
      <c r="A226" t="s">
        <v>1989</v>
      </c>
      <c r="B226" t="s">
        <v>1990</v>
      </c>
      <c r="D226" t="s">
        <v>991</v>
      </c>
      <c r="E226" t="s">
        <v>1991</v>
      </c>
      <c r="F226" t="s">
        <v>1992</v>
      </c>
      <c r="G226" t="s">
        <v>1993</v>
      </c>
      <c r="H226" t="s">
        <v>1994</v>
      </c>
      <c r="I226" t="s">
        <v>996</v>
      </c>
      <c r="J226" t="s">
        <v>997</v>
      </c>
      <c r="K226" t="s">
        <v>998</v>
      </c>
    </row>
    <row r="227" spans="1:11" x14ac:dyDescent="0.15">
      <c r="A227" t="s">
        <v>1989</v>
      </c>
      <c r="B227" t="s">
        <v>1990</v>
      </c>
      <c r="D227" t="s">
        <v>991</v>
      </c>
      <c r="E227" t="s">
        <v>1995</v>
      </c>
      <c r="F227" t="s">
        <v>1996</v>
      </c>
      <c r="G227" t="s">
        <v>1997</v>
      </c>
      <c r="H227" t="s">
        <v>1998</v>
      </c>
      <c r="I227" t="s">
        <v>996</v>
      </c>
      <c r="J227" t="s">
        <v>997</v>
      </c>
      <c r="K227" t="s">
        <v>998</v>
      </c>
    </row>
    <row r="228" spans="1:11" x14ac:dyDescent="0.15">
      <c r="A228" t="s">
        <v>1999</v>
      </c>
      <c r="B228" t="s">
        <v>2000</v>
      </c>
      <c r="D228" t="s">
        <v>991</v>
      </c>
      <c r="E228" t="s">
        <v>2001</v>
      </c>
      <c r="F228" t="s">
        <v>2002</v>
      </c>
      <c r="G228" t="s">
        <v>2003</v>
      </c>
      <c r="H228" t="s">
        <v>2004</v>
      </c>
      <c r="I228" t="s">
        <v>996</v>
      </c>
      <c r="J228" t="s">
        <v>997</v>
      </c>
      <c r="K228" t="s">
        <v>998</v>
      </c>
    </row>
    <row r="229" spans="1:11" x14ac:dyDescent="0.15">
      <c r="A229" t="s">
        <v>2005</v>
      </c>
      <c r="B229" t="s">
        <v>2006</v>
      </c>
      <c r="D229" t="s">
        <v>991</v>
      </c>
      <c r="E229" t="s">
        <v>2007</v>
      </c>
      <c r="F229" t="s">
        <v>2008</v>
      </c>
      <c r="G229" t="s">
        <v>2009</v>
      </c>
      <c r="H229" t="s">
        <v>2010</v>
      </c>
      <c r="I229" t="s">
        <v>996</v>
      </c>
      <c r="J229" t="s">
        <v>997</v>
      </c>
      <c r="K229" t="s">
        <v>998</v>
      </c>
    </row>
    <row r="230" spans="1:11" x14ac:dyDescent="0.15">
      <c r="A230" t="s">
        <v>2011</v>
      </c>
      <c r="B230" t="s">
        <v>2012</v>
      </c>
      <c r="D230" t="s">
        <v>991</v>
      </c>
      <c r="E230" t="s">
        <v>2013</v>
      </c>
      <c r="F230" t="s">
        <v>2014</v>
      </c>
      <c r="G230" t="s">
        <v>2015</v>
      </c>
      <c r="H230" t="s">
        <v>2016</v>
      </c>
      <c r="I230" t="s">
        <v>996</v>
      </c>
      <c r="J230" t="s">
        <v>997</v>
      </c>
      <c r="K230" t="s">
        <v>998</v>
      </c>
    </row>
    <row r="231" spans="1:11" x14ac:dyDescent="0.15">
      <c r="A231" t="s">
        <v>2011</v>
      </c>
      <c r="B231" t="s">
        <v>2012</v>
      </c>
      <c r="D231" t="s">
        <v>991</v>
      </c>
      <c r="E231" t="s">
        <v>2017</v>
      </c>
      <c r="F231" t="s">
        <v>2018</v>
      </c>
      <c r="G231" t="s">
        <v>2019</v>
      </c>
      <c r="H231" t="s">
        <v>2020</v>
      </c>
      <c r="I231" t="s">
        <v>996</v>
      </c>
      <c r="J231" t="s">
        <v>997</v>
      </c>
      <c r="K231" t="s">
        <v>998</v>
      </c>
    </row>
    <row r="232" spans="1:11" x14ac:dyDescent="0.15">
      <c r="A232" t="s">
        <v>2011</v>
      </c>
      <c r="B232" t="s">
        <v>2012</v>
      </c>
      <c r="D232" t="s">
        <v>991</v>
      </c>
      <c r="E232" t="s">
        <v>2021</v>
      </c>
      <c r="F232" t="s">
        <v>2022</v>
      </c>
      <c r="G232" t="s">
        <v>2023</v>
      </c>
      <c r="H232" t="s">
        <v>2024</v>
      </c>
      <c r="I232" t="s">
        <v>996</v>
      </c>
      <c r="J232" t="s">
        <v>997</v>
      </c>
      <c r="K232" t="s">
        <v>998</v>
      </c>
    </row>
    <row r="233" spans="1:11" x14ac:dyDescent="0.15">
      <c r="A233" t="s">
        <v>2025</v>
      </c>
      <c r="B233" t="s">
        <v>2026</v>
      </c>
      <c r="D233" t="s">
        <v>991</v>
      </c>
      <c r="E233" t="s">
        <v>2027</v>
      </c>
      <c r="F233" t="s">
        <v>2028</v>
      </c>
      <c r="G233" t="s">
        <v>2029</v>
      </c>
      <c r="H233" t="s">
        <v>2030</v>
      </c>
      <c r="I233" t="s">
        <v>996</v>
      </c>
      <c r="J233" t="s">
        <v>997</v>
      </c>
      <c r="K233" t="s">
        <v>998</v>
      </c>
    </row>
    <row r="234" spans="1:11" x14ac:dyDescent="0.15">
      <c r="A234" t="s">
        <v>2025</v>
      </c>
      <c r="B234" t="s">
        <v>2026</v>
      </c>
      <c r="D234" t="s">
        <v>991</v>
      </c>
      <c r="E234" t="s">
        <v>2031</v>
      </c>
      <c r="F234" t="s">
        <v>2032</v>
      </c>
      <c r="G234" t="s">
        <v>2033</v>
      </c>
      <c r="H234" t="s">
        <v>2034</v>
      </c>
      <c r="I234" t="s">
        <v>996</v>
      </c>
      <c r="J234" t="s">
        <v>997</v>
      </c>
      <c r="K234" t="s">
        <v>998</v>
      </c>
    </row>
    <row r="235" spans="1:11" x14ac:dyDescent="0.15">
      <c r="A235" t="s">
        <v>2025</v>
      </c>
      <c r="B235" t="s">
        <v>2026</v>
      </c>
      <c r="D235" t="s">
        <v>991</v>
      </c>
      <c r="E235" t="s">
        <v>2035</v>
      </c>
      <c r="F235" t="s">
        <v>2036</v>
      </c>
      <c r="G235" t="s">
        <v>2037</v>
      </c>
      <c r="H235" t="s">
        <v>2038</v>
      </c>
      <c r="I235" t="s">
        <v>996</v>
      </c>
      <c r="J235" t="s">
        <v>997</v>
      </c>
      <c r="K235" t="s">
        <v>998</v>
      </c>
    </row>
    <row r="236" spans="1:11" x14ac:dyDescent="0.15">
      <c r="A236" t="s">
        <v>2039</v>
      </c>
      <c r="B236" t="s">
        <v>2040</v>
      </c>
      <c r="D236" t="s">
        <v>991</v>
      </c>
      <c r="E236" t="s">
        <v>2041</v>
      </c>
      <c r="F236" t="s">
        <v>2042</v>
      </c>
      <c r="G236" t="s">
        <v>2043</v>
      </c>
      <c r="H236" t="s">
        <v>2044</v>
      </c>
      <c r="I236" t="s">
        <v>996</v>
      </c>
      <c r="J236" t="s">
        <v>997</v>
      </c>
      <c r="K236" t="s">
        <v>998</v>
      </c>
    </row>
    <row r="237" spans="1:11" x14ac:dyDescent="0.15">
      <c r="A237" t="s">
        <v>2039</v>
      </c>
      <c r="B237" t="s">
        <v>2040</v>
      </c>
      <c r="D237" t="s">
        <v>991</v>
      </c>
      <c r="E237" t="s">
        <v>2045</v>
      </c>
      <c r="F237" t="s">
        <v>2046</v>
      </c>
      <c r="G237" t="s">
        <v>2047</v>
      </c>
      <c r="H237" t="s">
        <v>2048</v>
      </c>
      <c r="I237" t="s">
        <v>996</v>
      </c>
      <c r="J237" t="s">
        <v>997</v>
      </c>
      <c r="K237" t="s">
        <v>998</v>
      </c>
    </row>
    <row r="238" spans="1:11" x14ac:dyDescent="0.15">
      <c r="A238" t="s">
        <v>2049</v>
      </c>
      <c r="B238" t="s">
        <v>2050</v>
      </c>
      <c r="D238" t="s">
        <v>991</v>
      </c>
      <c r="E238" t="s">
        <v>2051</v>
      </c>
      <c r="F238" t="s">
        <v>661</v>
      </c>
      <c r="G238" t="s">
        <v>2052</v>
      </c>
      <c r="H238" t="s">
        <v>659</v>
      </c>
      <c r="I238" t="s">
        <v>996</v>
      </c>
      <c r="J238" t="s">
        <v>997</v>
      </c>
      <c r="K238" t="s">
        <v>998</v>
      </c>
    </row>
    <row r="239" spans="1:11" x14ac:dyDescent="0.15">
      <c r="A239" t="s">
        <v>2049</v>
      </c>
      <c r="B239" t="s">
        <v>2050</v>
      </c>
      <c r="D239" t="s">
        <v>991</v>
      </c>
      <c r="E239" t="s">
        <v>2053</v>
      </c>
      <c r="F239" t="s">
        <v>664</v>
      </c>
      <c r="G239" t="s">
        <v>2054</v>
      </c>
      <c r="H239" t="s">
        <v>662</v>
      </c>
      <c r="I239" t="s">
        <v>996</v>
      </c>
      <c r="J239" t="s">
        <v>997</v>
      </c>
      <c r="K239" t="s">
        <v>998</v>
      </c>
    </row>
    <row r="240" spans="1:11" x14ac:dyDescent="0.15">
      <c r="A240" t="s">
        <v>2049</v>
      </c>
      <c r="B240" t="s">
        <v>2050</v>
      </c>
      <c r="D240" t="s">
        <v>991</v>
      </c>
      <c r="E240" t="s">
        <v>2055</v>
      </c>
      <c r="F240" t="s">
        <v>667</v>
      </c>
      <c r="G240" t="s">
        <v>2056</v>
      </c>
      <c r="H240" t="s">
        <v>665</v>
      </c>
      <c r="I240" t="s">
        <v>996</v>
      </c>
      <c r="J240" t="s">
        <v>997</v>
      </c>
      <c r="K240" t="s">
        <v>998</v>
      </c>
    </row>
    <row r="241" spans="1:11" x14ac:dyDescent="0.15">
      <c r="A241" t="s">
        <v>2049</v>
      </c>
      <c r="B241" t="s">
        <v>2050</v>
      </c>
      <c r="D241" t="s">
        <v>991</v>
      </c>
      <c r="E241" t="s">
        <v>2057</v>
      </c>
      <c r="F241" t="s">
        <v>671</v>
      </c>
      <c r="G241" t="s">
        <v>2058</v>
      </c>
      <c r="H241" t="s">
        <v>669</v>
      </c>
      <c r="I241" t="s">
        <v>996</v>
      </c>
      <c r="J241" t="s">
        <v>997</v>
      </c>
      <c r="K241" t="s">
        <v>998</v>
      </c>
    </row>
    <row r="242" spans="1:11" x14ac:dyDescent="0.15">
      <c r="A242" t="s">
        <v>2059</v>
      </c>
      <c r="B242" t="s">
        <v>2060</v>
      </c>
      <c r="D242" t="s">
        <v>991</v>
      </c>
      <c r="E242" t="s">
        <v>2061</v>
      </c>
      <c r="F242" t="s">
        <v>674</v>
      </c>
      <c r="G242" t="s">
        <v>2062</v>
      </c>
      <c r="H242" t="s">
        <v>672</v>
      </c>
      <c r="I242" t="s">
        <v>996</v>
      </c>
      <c r="J242" t="s">
        <v>997</v>
      </c>
      <c r="K242" t="s">
        <v>998</v>
      </c>
    </row>
    <row r="243" spans="1:11" x14ac:dyDescent="0.15">
      <c r="A243" t="s">
        <v>2059</v>
      </c>
      <c r="B243" t="s">
        <v>2060</v>
      </c>
      <c r="D243" t="s">
        <v>991</v>
      </c>
      <c r="E243" t="s">
        <v>2063</v>
      </c>
      <c r="F243" t="s">
        <v>677</v>
      </c>
      <c r="G243" t="s">
        <v>2064</v>
      </c>
      <c r="H243" t="s">
        <v>675</v>
      </c>
      <c r="I243" t="s">
        <v>996</v>
      </c>
      <c r="J243" t="s">
        <v>997</v>
      </c>
      <c r="K243" t="s">
        <v>998</v>
      </c>
    </row>
    <row r="244" spans="1:11" x14ac:dyDescent="0.15">
      <c r="A244" t="s">
        <v>2065</v>
      </c>
      <c r="B244" t="s">
        <v>2066</v>
      </c>
      <c r="D244" t="s">
        <v>991</v>
      </c>
      <c r="E244" t="s">
        <v>2067</v>
      </c>
      <c r="F244" t="s">
        <v>2068</v>
      </c>
      <c r="G244" t="s">
        <v>2069</v>
      </c>
      <c r="H244" t="s">
        <v>2070</v>
      </c>
      <c r="I244" t="s">
        <v>996</v>
      </c>
      <c r="J244" t="s">
        <v>997</v>
      </c>
      <c r="K244" t="s">
        <v>998</v>
      </c>
    </row>
    <row r="245" spans="1:11" x14ac:dyDescent="0.15">
      <c r="A245" t="s">
        <v>2071</v>
      </c>
      <c r="B245" t="s">
        <v>2072</v>
      </c>
      <c r="D245" t="s">
        <v>991</v>
      </c>
      <c r="E245" t="s">
        <v>2073</v>
      </c>
      <c r="F245" t="s">
        <v>2074</v>
      </c>
      <c r="G245" t="s">
        <v>2075</v>
      </c>
      <c r="H245" t="s">
        <v>2076</v>
      </c>
      <c r="I245" t="s">
        <v>996</v>
      </c>
      <c r="J245" t="s">
        <v>997</v>
      </c>
      <c r="K245" t="s">
        <v>998</v>
      </c>
    </row>
    <row r="246" spans="1:11" x14ac:dyDescent="0.15">
      <c r="A246" t="s">
        <v>2077</v>
      </c>
      <c r="B246" t="s">
        <v>2078</v>
      </c>
      <c r="D246" t="s">
        <v>991</v>
      </c>
      <c r="E246" t="s">
        <v>2079</v>
      </c>
      <c r="F246" t="s">
        <v>2080</v>
      </c>
      <c r="G246" t="s">
        <v>2081</v>
      </c>
      <c r="H246" t="s">
        <v>2082</v>
      </c>
      <c r="I246" t="s">
        <v>996</v>
      </c>
      <c r="J246" t="s">
        <v>997</v>
      </c>
      <c r="K246" t="s">
        <v>998</v>
      </c>
    </row>
    <row r="247" spans="1:11" x14ac:dyDescent="0.15">
      <c r="A247" t="s">
        <v>2083</v>
      </c>
      <c r="B247" t="s">
        <v>2084</v>
      </c>
      <c r="C247" t="s">
        <v>1793</v>
      </c>
      <c r="D247" t="s">
        <v>991</v>
      </c>
      <c r="E247" t="s">
        <v>2085</v>
      </c>
      <c r="F247" t="s">
        <v>2086</v>
      </c>
      <c r="G247" t="s">
        <v>2087</v>
      </c>
      <c r="H247" t="s">
        <v>2088</v>
      </c>
      <c r="I247" t="s">
        <v>996</v>
      </c>
      <c r="J247" t="s">
        <v>997</v>
      </c>
      <c r="K247" t="s">
        <v>998</v>
      </c>
    </row>
    <row r="248" spans="1:11" x14ac:dyDescent="0.15">
      <c r="A248" t="s">
        <v>2083</v>
      </c>
      <c r="B248" t="s">
        <v>2084</v>
      </c>
      <c r="C248" t="s">
        <v>1793</v>
      </c>
      <c r="D248" t="s">
        <v>991</v>
      </c>
      <c r="E248" t="s">
        <v>2089</v>
      </c>
      <c r="F248" t="s">
        <v>2090</v>
      </c>
      <c r="G248" t="s">
        <v>2091</v>
      </c>
      <c r="H248" t="s">
        <v>2092</v>
      </c>
      <c r="I248" t="s">
        <v>996</v>
      </c>
      <c r="J248" t="s">
        <v>997</v>
      </c>
      <c r="K248" t="s">
        <v>998</v>
      </c>
    </row>
    <row r="249" spans="1:11" x14ac:dyDescent="0.15">
      <c r="A249" t="s">
        <v>2083</v>
      </c>
      <c r="B249" t="s">
        <v>2084</v>
      </c>
      <c r="C249" t="s">
        <v>1793</v>
      </c>
      <c r="D249" t="s">
        <v>991</v>
      </c>
      <c r="E249" t="s">
        <v>2093</v>
      </c>
      <c r="F249" t="s">
        <v>2094</v>
      </c>
      <c r="G249" t="s">
        <v>2095</v>
      </c>
      <c r="H249" t="s">
        <v>2096</v>
      </c>
      <c r="I249" t="s">
        <v>996</v>
      </c>
      <c r="J249" t="s">
        <v>997</v>
      </c>
      <c r="K249" t="s">
        <v>998</v>
      </c>
    </row>
    <row r="250" spans="1:11" x14ac:dyDescent="0.15">
      <c r="A250" t="s">
        <v>2083</v>
      </c>
      <c r="B250" t="s">
        <v>2084</v>
      </c>
      <c r="C250" t="s">
        <v>1793</v>
      </c>
      <c r="D250" t="s">
        <v>991</v>
      </c>
      <c r="E250" t="s">
        <v>2097</v>
      </c>
      <c r="F250" t="s">
        <v>2098</v>
      </c>
      <c r="G250" t="s">
        <v>2099</v>
      </c>
      <c r="H250" t="s">
        <v>2100</v>
      </c>
      <c r="I250" t="s">
        <v>996</v>
      </c>
      <c r="J250" t="s">
        <v>997</v>
      </c>
      <c r="K250" t="s">
        <v>998</v>
      </c>
    </row>
    <row r="251" spans="1:11" x14ac:dyDescent="0.15">
      <c r="A251" t="s">
        <v>2083</v>
      </c>
      <c r="B251" t="s">
        <v>2084</v>
      </c>
      <c r="C251" t="s">
        <v>1793</v>
      </c>
      <c r="D251" t="s">
        <v>991</v>
      </c>
      <c r="E251" t="s">
        <v>2101</v>
      </c>
      <c r="F251" t="s">
        <v>2102</v>
      </c>
      <c r="G251" t="s">
        <v>2103</v>
      </c>
      <c r="H251" t="s">
        <v>2104</v>
      </c>
      <c r="I251" t="s">
        <v>996</v>
      </c>
      <c r="J251" t="s">
        <v>997</v>
      </c>
      <c r="K251" t="s">
        <v>998</v>
      </c>
    </row>
    <row r="252" spans="1:11" x14ac:dyDescent="0.15">
      <c r="A252" t="s">
        <v>2083</v>
      </c>
      <c r="B252" t="s">
        <v>2084</v>
      </c>
      <c r="C252" t="s">
        <v>1793</v>
      </c>
      <c r="D252" t="s">
        <v>991</v>
      </c>
      <c r="E252" t="s">
        <v>2105</v>
      </c>
      <c r="F252" t="s">
        <v>2106</v>
      </c>
      <c r="G252" t="s">
        <v>2107</v>
      </c>
      <c r="H252" t="s">
        <v>2108</v>
      </c>
      <c r="I252" t="s">
        <v>996</v>
      </c>
      <c r="J252" t="s">
        <v>997</v>
      </c>
      <c r="K252" t="s">
        <v>998</v>
      </c>
    </row>
    <row r="253" spans="1:11" x14ac:dyDescent="0.15">
      <c r="A253" t="s">
        <v>2083</v>
      </c>
      <c r="B253" t="s">
        <v>2084</v>
      </c>
      <c r="C253" t="s">
        <v>1793</v>
      </c>
      <c r="D253" t="s">
        <v>991</v>
      </c>
      <c r="E253" t="s">
        <v>2109</v>
      </c>
      <c r="F253" t="s">
        <v>2110</v>
      </c>
      <c r="G253" t="s">
        <v>2111</v>
      </c>
      <c r="H253" t="s">
        <v>2112</v>
      </c>
      <c r="I253" t="s">
        <v>996</v>
      </c>
      <c r="J253" t="s">
        <v>997</v>
      </c>
      <c r="K253" t="s">
        <v>998</v>
      </c>
    </row>
    <row r="254" spans="1:11" x14ac:dyDescent="0.15">
      <c r="A254" t="s">
        <v>2083</v>
      </c>
      <c r="B254" t="s">
        <v>2084</v>
      </c>
      <c r="C254" t="s">
        <v>1793</v>
      </c>
      <c r="D254" t="s">
        <v>991</v>
      </c>
      <c r="E254" t="s">
        <v>2113</v>
      </c>
      <c r="F254" t="s">
        <v>2114</v>
      </c>
      <c r="G254" t="s">
        <v>2115</v>
      </c>
      <c r="H254" t="s">
        <v>2116</v>
      </c>
      <c r="I254" t="s">
        <v>996</v>
      </c>
      <c r="J254" t="s">
        <v>997</v>
      </c>
      <c r="K254" t="s">
        <v>998</v>
      </c>
    </row>
    <row r="255" spans="1:11" x14ac:dyDescent="0.15">
      <c r="A255" t="s">
        <v>2083</v>
      </c>
      <c r="B255" t="s">
        <v>2084</v>
      </c>
      <c r="C255" t="s">
        <v>1793</v>
      </c>
      <c r="D255" t="s">
        <v>991</v>
      </c>
      <c r="E255" t="s">
        <v>2117</v>
      </c>
      <c r="F255" t="s">
        <v>2118</v>
      </c>
      <c r="G255" t="s">
        <v>2119</v>
      </c>
      <c r="H255" t="s">
        <v>2120</v>
      </c>
      <c r="I255" t="s">
        <v>996</v>
      </c>
      <c r="J255" t="s">
        <v>997</v>
      </c>
      <c r="K255" t="s">
        <v>998</v>
      </c>
    </row>
    <row r="256" spans="1:11" x14ac:dyDescent="0.15">
      <c r="A256" t="s">
        <v>2083</v>
      </c>
      <c r="B256" t="s">
        <v>2084</v>
      </c>
      <c r="C256" t="s">
        <v>1793</v>
      </c>
      <c r="D256" t="s">
        <v>991</v>
      </c>
      <c r="E256" t="s">
        <v>2121</v>
      </c>
      <c r="F256" t="s">
        <v>2122</v>
      </c>
      <c r="G256" t="s">
        <v>2123</v>
      </c>
      <c r="H256" t="s">
        <v>2124</v>
      </c>
      <c r="I256" t="s">
        <v>996</v>
      </c>
      <c r="J256" t="s">
        <v>997</v>
      </c>
      <c r="K256" t="s">
        <v>998</v>
      </c>
    </row>
    <row r="257" spans="1:11" x14ac:dyDescent="0.15">
      <c r="A257" t="s">
        <v>2125</v>
      </c>
      <c r="B257" t="s">
        <v>2126</v>
      </c>
      <c r="C257" t="s">
        <v>2127</v>
      </c>
      <c r="D257" t="s">
        <v>991</v>
      </c>
      <c r="E257" t="s">
        <v>2128</v>
      </c>
      <c r="F257" t="s">
        <v>729</v>
      </c>
      <c r="G257" t="s">
        <v>2129</v>
      </c>
      <c r="H257" t="s">
        <v>727</v>
      </c>
      <c r="I257" t="s">
        <v>996</v>
      </c>
      <c r="J257" t="s">
        <v>997</v>
      </c>
      <c r="K257" t="s">
        <v>998</v>
      </c>
    </row>
    <row r="258" spans="1:11" x14ac:dyDescent="0.15">
      <c r="A258" t="s">
        <v>2125</v>
      </c>
      <c r="B258" t="s">
        <v>2126</v>
      </c>
      <c r="C258" t="s">
        <v>2127</v>
      </c>
      <c r="D258" t="s">
        <v>991</v>
      </c>
      <c r="E258" t="s">
        <v>2130</v>
      </c>
      <c r="F258" t="s">
        <v>732</v>
      </c>
      <c r="G258" t="s">
        <v>2131</v>
      </c>
      <c r="H258" t="s">
        <v>730</v>
      </c>
      <c r="I258" t="s">
        <v>996</v>
      </c>
      <c r="J258" t="s">
        <v>997</v>
      </c>
      <c r="K258" t="s">
        <v>998</v>
      </c>
    </row>
    <row r="259" spans="1:11" x14ac:dyDescent="0.15">
      <c r="A259" t="s">
        <v>2125</v>
      </c>
      <c r="B259" t="s">
        <v>2126</v>
      </c>
      <c r="C259" t="s">
        <v>2127</v>
      </c>
      <c r="D259" t="s">
        <v>991</v>
      </c>
      <c r="E259" t="s">
        <v>2132</v>
      </c>
      <c r="F259" t="s">
        <v>735</v>
      </c>
      <c r="G259" t="s">
        <v>2133</v>
      </c>
      <c r="H259" t="s">
        <v>733</v>
      </c>
      <c r="I259" t="s">
        <v>996</v>
      </c>
      <c r="J259" t="s">
        <v>997</v>
      </c>
      <c r="K259" t="s">
        <v>998</v>
      </c>
    </row>
    <row r="260" spans="1:11" x14ac:dyDescent="0.15">
      <c r="A260" t="s">
        <v>2125</v>
      </c>
      <c r="B260" t="s">
        <v>2126</v>
      </c>
      <c r="C260" t="s">
        <v>2127</v>
      </c>
      <c r="D260" t="s">
        <v>991</v>
      </c>
      <c r="E260" t="s">
        <v>2134</v>
      </c>
      <c r="F260" t="s">
        <v>738</v>
      </c>
      <c r="G260" t="s">
        <v>2135</v>
      </c>
      <c r="H260" t="s">
        <v>736</v>
      </c>
      <c r="I260" t="s">
        <v>996</v>
      </c>
      <c r="J260" t="s">
        <v>997</v>
      </c>
      <c r="K260" t="s">
        <v>998</v>
      </c>
    </row>
    <row r="261" spans="1:11" x14ac:dyDescent="0.15">
      <c r="A261" t="s">
        <v>2125</v>
      </c>
      <c r="B261" t="s">
        <v>2126</v>
      </c>
      <c r="C261" t="s">
        <v>2127</v>
      </c>
      <c r="D261" t="s">
        <v>991</v>
      </c>
      <c r="E261" t="s">
        <v>2136</v>
      </c>
      <c r="F261" t="s">
        <v>741</v>
      </c>
      <c r="G261" t="s">
        <v>2137</v>
      </c>
      <c r="H261" t="s">
        <v>739</v>
      </c>
      <c r="I261" t="s">
        <v>996</v>
      </c>
      <c r="J261" t="s">
        <v>997</v>
      </c>
      <c r="K261" t="s">
        <v>998</v>
      </c>
    </row>
    <row r="262" spans="1:11" x14ac:dyDescent="0.15">
      <c r="A262" t="s">
        <v>2125</v>
      </c>
      <c r="B262" t="s">
        <v>2126</v>
      </c>
      <c r="C262" t="s">
        <v>2127</v>
      </c>
      <c r="D262" t="s">
        <v>991</v>
      </c>
      <c r="E262" t="s">
        <v>2138</v>
      </c>
      <c r="F262" t="s">
        <v>744</v>
      </c>
      <c r="G262" t="s">
        <v>2139</v>
      </c>
      <c r="H262" t="s">
        <v>742</v>
      </c>
      <c r="I262" t="s">
        <v>996</v>
      </c>
      <c r="J262" t="s">
        <v>997</v>
      </c>
      <c r="K262" t="s">
        <v>998</v>
      </c>
    </row>
    <row r="263" spans="1:11" x14ac:dyDescent="0.15">
      <c r="A263" t="s">
        <v>2125</v>
      </c>
      <c r="B263" t="s">
        <v>2126</v>
      </c>
      <c r="C263" t="s">
        <v>2127</v>
      </c>
      <c r="D263" t="s">
        <v>991</v>
      </c>
      <c r="E263" t="s">
        <v>2140</v>
      </c>
      <c r="F263" t="s">
        <v>747</v>
      </c>
      <c r="G263" t="s">
        <v>2141</v>
      </c>
      <c r="H263" t="s">
        <v>745</v>
      </c>
      <c r="I263" t="s">
        <v>996</v>
      </c>
      <c r="J263" t="s">
        <v>997</v>
      </c>
      <c r="K263" t="s">
        <v>998</v>
      </c>
    </row>
    <row r="264" spans="1:11" x14ac:dyDescent="0.15">
      <c r="A264" t="s">
        <v>2125</v>
      </c>
      <c r="B264" t="s">
        <v>2126</v>
      </c>
      <c r="C264" t="s">
        <v>2127</v>
      </c>
      <c r="D264" t="s">
        <v>991</v>
      </c>
      <c r="E264" t="s">
        <v>2142</v>
      </c>
      <c r="F264" t="s">
        <v>750</v>
      </c>
      <c r="G264" t="s">
        <v>2143</v>
      </c>
      <c r="H264" t="s">
        <v>748</v>
      </c>
      <c r="I264" t="s">
        <v>996</v>
      </c>
      <c r="J264" t="s">
        <v>997</v>
      </c>
      <c r="K264" t="s">
        <v>998</v>
      </c>
    </row>
    <row r="265" spans="1:11" x14ac:dyDescent="0.15">
      <c r="A265" t="s">
        <v>2125</v>
      </c>
      <c r="B265" t="s">
        <v>2126</v>
      </c>
      <c r="C265" t="s">
        <v>2127</v>
      </c>
      <c r="D265" t="s">
        <v>991</v>
      </c>
      <c r="E265" t="s">
        <v>2144</v>
      </c>
      <c r="F265" t="s">
        <v>753</v>
      </c>
      <c r="G265" t="s">
        <v>2145</v>
      </c>
      <c r="H265" t="s">
        <v>751</v>
      </c>
      <c r="I265" t="s">
        <v>996</v>
      </c>
      <c r="J265" t="s">
        <v>997</v>
      </c>
      <c r="K265" t="s">
        <v>998</v>
      </c>
    </row>
    <row r="266" spans="1:11" x14ac:dyDescent="0.15">
      <c r="A266" t="s">
        <v>2125</v>
      </c>
      <c r="B266" t="s">
        <v>2126</v>
      </c>
      <c r="C266" t="s">
        <v>2127</v>
      </c>
      <c r="D266" t="s">
        <v>991</v>
      </c>
      <c r="E266" t="s">
        <v>2146</v>
      </c>
      <c r="F266" t="s">
        <v>756</v>
      </c>
      <c r="G266" t="s">
        <v>2147</v>
      </c>
      <c r="H266" t="s">
        <v>754</v>
      </c>
      <c r="I266" t="s">
        <v>996</v>
      </c>
      <c r="J266" t="s">
        <v>997</v>
      </c>
      <c r="K266" t="s">
        <v>998</v>
      </c>
    </row>
    <row r="267" spans="1:11" x14ac:dyDescent="0.15">
      <c r="A267" t="s">
        <v>2148</v>
      </c>
      <c r="B267" t="s">
        <v>2149</v>
      </c>
      <c r="D267" t="s">
        <v>991</v>
      </c>
      <c r="E267" t="s">
        <v>2150</v>
      </c>
      <c r="F267" t="s">
        <v>2151</v>
      </c>
      <c r="G267" t="s">
        <v>2152</v>
      </c>
      <c r="H267" t="s">
        <v>2153</v>
      </c>
      <c r="I267" t="s">
        <v>996</v>
      </c>
      <c r="J267" t="s">
        <v>997</v>
      </c>
      <c r="K267" t="s">
        <v>998</v>
      </c>
    </row>
    <row r="268" spans="1:11" x14ac:dyDescent="0.15">
      <c r="A268" t="s">
        <v>2154</v>
      </c>
      <c r="B268" t="s">
        <v>2155</v>
      </c>
      <c r="D268" t="s">
        <v>991</v>
      </c>
      <c r="E268" t="s">
        <v>2156</v>
      </c>
      <c r="F268" t="s">
        <v>2157</v>
      </c>
      <c r="G268" t="s">
        <v>2158</v>
      </c>
      <c r="H268" t="s">
        <v>2159</v>
      </c>
      <c r="I268" t="s">
        <v>996</v>
      </c>
      <c r="J268" t="s">
        <v>997</v>
      </c>
      <c r="K268" t="s">
        <v>998</v>
      </c>
    </row>
    <row r="269" spans="1:11" x14ac:dyDescent="0.15">
      <c r="A269" t="s">
        <v>2160</v>
      </c>
      <c r="B269" t="s">
        <v>2161</v>
      </c>
      <c r="D269" t="s">
        <v>991</v>
      </c>
      <c r="E269" t="s">
        <v>2162</v>
      </c>
      <c r="F269" t="s">
        <v>2163</v>
      </c>
      <c r="G269" t="s">
        <v>2164</v>
      </c>
      <c r="H269" t="s">
        <v>2165</v>
      </c>
      <c r="I269" t="s">
        <v>996</v>
      </c>
      <c r="J269" t="s">
        <v>997</v>
      </c>
      <c r="K269" t="s">
        <v>998</v>
      </c>
    </row>
    <row r="270" spans="1:11" x14ac:dyDescent="0.15">
      <c r="A270" t="s">
        <v>2166</v>
      </c>
      <c r="B270" t="s">
        <v>2167</v>
      </c>
      <c r="D270" t="s">
        <v>991</v>
      </c>
      <c r="E270" t="s">
        <v>2168</v>
      </c>
      <c r="F270" t="s">
        <v>2169</v>
      </c>
      <c r="G270" t="s">
        <v>2170</v>
      </c>
      <c r="H270" t="s">
        <v>2171</v>
      </c>
      <c r="I270" t="s">
        <v>996</v>
      </c>
      <c r="J270" t="s">
        <v>997</v>
      </c>
      <c r="K270" t="s">
        <v>998</v>
      </c>
    </row>
    <row r="271" spans="1:11" x14ac:dyDescent="0.15">
      <c r="A271" t="s">
        <v>2172</v>
      </c>
      <c r="B271" t="s">
        <v>2173</v>
      </c>
      <c r="D271" t="s">
        <v>991</v>
      </c>
      <c r="E271" t="s">
        <v>2174</v>
      </c>
      <c r="F271" t="s">
        <v>2175</v>
      </c>
      <c r="G271" t="s">
        <v>2176</v>
      </c>
      <c r="H271" t="s">
        <v>2177</v>
      </c>
      <c r="I271" t="s">
        <v>996</v>
      </c>
      <c r="J271" t="s">
        <v>997</v>
      </c>
      <c r="K271" t="s">
        <v>998</v>
      </c>
    </row>
    <row r="272" spans="1:11" x14ac:dyDescent="0.15">
      <c r="A272" t="s">
        <v>2178</v>
      </c>
      <c r="B272" t="s">
        <v>2179</v>
      </c>
      <c r="D272" t="s">
        <v>991</v>
      </c>
      <c r="E272" t="s">
        <v>2180</v>
      </c>
      <c r="F272" t="s">
        <v>2181</v>
      </c>
      <c r="G272" t="s">
        <v>2182</v>
      </c>
      <c r="H272" t="s">
        <v>2183</v>
      </c>
      <c r="I272" t="s">
        <v>996</v>
      </c>
      <c r="J272" t="s">
        <v>997</v>
      </c>
      <c r="K272" t="s">
        <v>998</v>
      </c>
    </row>
    <row r="273" spans="1:11" x14ac:dyDescent="0.15">
      <c r="A273" t="s">
        <v>2184</v>
      </c>
      <c r="B273" t="s">
        <v>2185</v>
      </c>
      <c r="D273" t="s">
        <v>991</v>
      </c>
      <c r="E273" t="s">
        <v>2186</v>
      </c>
      <c r="F273" t="s">
        <v>2187</v>
      </c>
      <c r="G273" t="s">
        <v>2188</v>
      </c>
      <c r="H273" t="s">
        <v>2189</v>
      </c>
      <c r="I273" t="s">
        <v>996</v>
      </c>
      <c r="J273" t="s">
        <v>997</v>
      </c>
      <c r="K273" t="s">
        <v>998</v>
      </c>
    </row>
    <row r="274" spans="1:11" x14ac:dyDescent="0.15">
      <c r="A274" t="s">
        <v>2190</v>
      </c>
      <c r="B274" t="s">
        <v>2191</v>
      </c>
      <c r="D274" t="s">
        <v>991</v>
      </c>
      <c r="E274" t="s">
        <v>2192</v>
      </c>
      <c r="F274" t="s">
        <v>2193</v>
      </c>
      <c r="G274" t="s">
        <v>2194</v>
      </c>
      <c r="H274" t="s">
        <v>2195</v>
      </c>
      <c r="I274" t="s">
        <v>996</v>
      </c>
      <c r="J274" t="s">
        <v>997</v>
      </c>
      <c r="K274" t="s">
        <v>998</v>
      </c>
    </row>
    <row r="275" spans="1:11" x14ac:dyDescent="0.15">
      <c r="A275" t="s">
        <v>2196</v>
      </c>
      <c r="B275" t="s">
        <v>2197</v>
      </c>
      <c r="D275" t="s">
        <v>991</v>
      </c>
      <c r="E275" t="s">
        <v>2198</v>
      </c>
      <c r="F275" t="s">
        <v>2199</v>
      </c>
      <c r="G275" t="s">
        <v>2200</v>
      </c>
      <c r="H275" t="s">
        <v>2201</v>
      </c>
      <c r="I275" t="s">
        <v>996</v>
      </c>
      <c r="J275" t="s">
        <v>997</v>
      </c>
      <c r="K275" t="s">
        <v>998</v>
      </c>
    </row>
    <row r="276" spans="1:11" x14ac:dyDescent="0.15">
      <c r="A276" t="s">
        <v>2202</v>
      </c>
      <c r="B276" t="s">
        <v>2203</v>
      </c>
      <c r="D276" t="s">
        <v>991</v>
      </c>
      <c r="E276" t="s">
        <v>2204</v>
      </c>
      <c r="F276" t="s">
        <v>2205</v>
      </c>
      <c r="G276" t="s">
        <v>2206</v>
      </c>
      <c r="H276" t="s">
        <v>2207</v>
      </c>
      <c r="I276" t="s">
        <v>996</v>
      </c>
      <c r="J276" t="s">
        <v>997</v>
      </c>
      <c r="K276" t="s">
        <v>998</v>
      </c>
    </row>
    <row r="277" spans="1:11" x14ac:dyDescent="0.15">
      <c r="A277" t="s">
        <v>2208</v>
      </c>
      <c r="B277" t="s">
        <v>2209</v>
      </c>
      <c r="D277" t="s">
        <v>991</v>
      </c>
      <c r="E277" t="s">
        <v>2210</v>
      </c>
      <c r="F277" t="s">
        <v>2211</v>
      </c>
      <c r="G277" t="s">
        <v>2212</v>
      </c>
      <c r="H277" t="s">
        <v>2213</v>
      </c>
      <c r="I277" t="s">
        <v>996</v>
      </c>
      <c r="J277" t="s">
        <v>997</v>
      </c>
      <c r="K277" t="s">
        <v>998</v>
      </c>
    </row>
    <row r="278" spans="1:11" x14ac:dyDescent="0.15">
      <c r="A278" t="s">
        <v>2208</v>
      </c>
      <c r="B278" t="s">
        <v>2209</v>
      </c>
      <c r="D278" t="s">
        <v>991</v>
      </c>
      <c r="E278" t="s">
        <v>2214</v>
      </c>
      <c r="F278" t="s">
        <v>2209</v>
      </c>
      <c r="G278" t="s">
        <v>2215</v>
      </c>
      <c r="H278" t="s">
        <v>2216</v>
      </c>
      <c r="I278" t="s">
        <v>996</v>
      </c>
      <c r="J278" t="s">
        <v>997</v>
      </c>
      <c r="K278" t="s">
        <v>998</v>
      </c>
    </row>
    <row r="279" spans="1:11" x14ac:dyDescent="0.15">
      <c r="A279" t="s">
        <v>2217</v>
      </c>
      <c r="B279" t="s">
        <v>2218</v>
      </c>
      <c r="D279" t="s">
        <v>991</v>
      </c>
      <c r="E279" t="s">
        <v>2219</v>
      </c>
      <c r="F279" t="s">
        <v>2220</v>
      </c>
      <c r="G279" t="s">
        <v>2221</v>
      </c>
      <c r="H279" t="s">
        <v>2222</v>
      </c>
      <c r="I279" t="s">
        <v>996</v>
      </c>
      <c r="J279" t="s">
        <v>997</v>
      </c>
      <c r="K279" t="s">
        <v>998</v>
      </c>
    </row>
    <row r="280" spans="1:11" x14ac:dyDescent="0.15">
      <c r="A280" t="s">
        <v>2217</v>
      </c>
      <c r="B280" t="s">
        <v>2218</v>
      </c>
      <c r="D280" t="s">
        <v>991</v>
      </c>
      <c r="E280" t="s">
        <v>2223</v>
      </c>
      <c r="F280" t="s">
        <v>2224</v>
      </c>
      <c r="G280" t="s">
        <v>2225</v>
      </c>
      <c r="H280" t="s">
        <v>2226</v>
      </c>
      <c r="I280" t="s">
        <v>996</v>
      </c>
      <c r="J280" t="s">
        <v>997</v>
      </c>
      <c r="K280" t="s">
        <v>998</v>
      </c>
    </row>
    <row r="281" spans="1:11" x14ac:dyDescent="0.15">
      <c r="A281" t="s">
        <v>2227</v>
      </c>
      <c r="B281" t="s">
        <v>2228</v>
      </c>
      <c r="D281" t="s">
        <v>991</v>
      </c>
      <c r="E281" t="s">
        <v>2229</v>
      </c>
      <c r="F281" t="s">
        <v>2230</v>
      </c>
      <c r="G281" t="s">
        <v>2231</v>
      </c>
      <c r="H281" t="s">
        <v>2232</v>
      </c>
      <c r="I281" t="s">
        <v>996</v>
      </c>
      <c r="J281" t="s">
        <v>997</v>
      </c>
      <c r="K281" t="s">
        <v>998</v>
      </c>
    </row>
    <row r="282" spans="1:11" x14ac:dyDescent="0.15">
      <c r="A282" t="s">
        <v>2227</v>
      </c>
      <c r="B282" t="s">
        <v>2228</v>
      </c>
      <c r="D282" t="s">
        <v>991</v>
      </c>
      <c r="E282" t="s">
        <v>2233</v>
      </c>
      <c r="F282" t="s">
        <v>2234</v>
      </c>
      <c r="G282" t="s">
        <v>2235</v>
      </c>
      <c r="H282" t="s">
        <v>2236</v>
      </c>
      <c r="I282" t="s">
        <v>996</v>
      </c>
      <c r="J282" t="s">
        <v>997</v>
      </c>
      <c r="K282" t="s">
        <v>998</v>
      </c>
    </row>
    <row r="283" spans="1:11" x14ac:dyDescent="0.15">
      <c r="A283" t="s">
        <v>2237</v>
      </c>
      <c r="B283" t="s">
        <v>2238</v>
      </c>
      <c r="D283" t="s">
        <v>991</v>
      </c>
      <c r="E283" t="s">
        <v>2239</v>
      </c>
      <c r="F283" t="s">
        <v>2240</v>
      </c>
      <c r="G283" t="s">
        <v>2241</v>
      </c>
      <c r="H283" t="s">
        <v>2242</v>
      </c>
      <c r="I283" t="s">
        <v>996</v>
      </c>
      <c r="J283" t="s">
        <v>997</v>
      </c>
      <c r="K283" t="s">
        <v>998</v>
      </c>
    </row>
    <row r="284" spans="1:11" x14ac:dyDescent="0.15">
      <c r="A284" t="s">
        <v>2237</v>
      </c>
      <c r="B284" t="s">
        <v>2238</v>
      </c>
      <c r="D284" t="s">
        <v>991</v>
      </c>
      <c r="E284" t="s">
        <v>2243</v>
      </c>
      <c r="F284" t="s">
        <v>2238</v>
      </c>
      <c r="G284" t="s">
        <v>2244</v>
      </c>
      <c r="H284" t="s">
        <v>2245</v>
      </c>
      <c r="I284" t="s">
        <v>996</v>
      </c>
      <c r="J284" t="s">
        <v>997</v>
      </c>
      <c r="K284" t="s">
        <v>998</v>
      </c>
    </row>
    <row r="285" spans="1:11" x14ac:dyDescent="0.15">
      <c r="A285" t="s">
        <v>2246</v>
      </c>
      <c r="B285" t="s">
        <v>2247</v>
      </c>
      <c r="D285" t="s">
        <v>991</v>
      </c>
      <c r="E285" t="s">
        <v>2248</v>
      </c>
      <c r="F285" t="s">
        <v>2249</v>
      </c>
      <c r="G285" t="s">
        <v>2250</v>
      </c>
      <c r="H285" t="s">
        <v>2251</v>
      </c>
      <c r="I285" t="s">
        <v>996</v>
      </c>
      <c r="J285" t="s">
        <v>997</v>
      </c>
      <c r="K285" t="s">
        <v>998</v>
      </c>
    </row>
    <row r="286" spans="1:11" x14ac:dyDescent="0.15">
      <c r="A286" t="s">
        <v>2246</v>
      </c>
      <c r="B286" t="s">
        <v>2247</v>
      </c>
      <c r="D286" t="s">
        <v>991</v>
      </c>
      <c r="E286" t="s">
        <v>2252</v>
      </c>
      <c r="F286" t="s">
        <v>2247</v>
      </c>
      <c r="G286" t="s">
        <v>2253</v>
      </c>
      <c r="H286" t="s">
        <v>2254</v>
      </c>
      <c r="I286" t="s">
        <v>996</v>
      </c>
      <c r="J286" t="s">
        <v>997</v>
      </c>
      <c r="K286" t="s">
        <v>998</v>
      </c>
    </row>
    <row r="287" spans="1:11" x14ac:dyDescent="0.15">
      <c r="A287" t="s">
        <v>2255</v>
      </c>
      <c r="B287" t="s">
        <v>2256</v>
      </c>
      <c r="D287" t="s">
        <v>991</v>
      </c>
      <c r="E287" t="s">
        <v>2257</v>
      </c>
      <c r="F287" t="s">
        <v>2258</v>
      </c>
      <c r="G287" t="s">
        <v>2259</v>
      </c>
      <c r="H287" t="s">
        <v>2260</v>
      </c>
      <c r="I287" t="s">
        <v>996</v>
      </c>
      <c r="J287" t="s">
        <v>997</v>
      </c>
      <c r="K287" t="s">
        <v>998</v>
      </c>
    </row>
    <row r="288" spans="1:11" x14ac:dyDescent="0.15">
      <c r="A288" t="s">
        <v>2261</v>
      </c>
      <c r="B288" t="s">
        <v>2262</v>
      </c>
      <c r="D288" t="s">
        <v>991</v>
      </c>
      <c r="E288" t="s">
        <v>2263</v>
      </c>
      <c r="F288" t="s">
        <v>2264</v>
      </c>
      <c r="G288" t="s">
        <v>2265</v>
      </c>
      <c r="H288" t="s">
        <v>2266</v>
      </c>
      <c r="I288" t="s">
        <v>996</v>
      </c>
      <c r="J288" t="s">
        <v>997</v>
      </c>
      <c r="K288" t="s">
        <v>998</v>
      </c>
    </row>
    <row r="289" spans="1:11" x14ac:dyDescent="0.15">
      <c r="A289" t="s">
        <v>2267</v>
      </c>
      <c r="B289" t="s">
        <v>2268</v>
      </c>
      <c r="D289" t="s">
        <v>991</v>
      </c>
      <c r="E289" t="s">
        <v>2269</v>
      </c>
      <c r="F289" t="s">
        <v>2270</v>
      </c>
      <c r="G289" t="s">
        <v>2271</v>
      </c>
      <c r="H289" t="s">
        <v>2272</v>
      </c>
      <c r="I289" t="s">
        <v>996</v>
      </c>
      <c r="J289" t="s">
        <v>997</v>
      </c>
      <c r="K289" t="s">
        <v>998</v>
      </c>
    </row>
    <row r="290" spans="1:11" x14ac:dyDescent="0.15">
      <c r="A290" t="s">
        <v>2273</v>
      </c>
      <c r="B290" t="s">
        <v>2274</v>
      </c>
      <c r="D290" t="s">
        <v>991</v>
      </c>
      <c r="E290" t="s">
        <v>2275</v>
      </c>
      <c r="F290" t="s">
        <v>2276</v>
      </c>
      <c r="G290" t="s">
        <v>2277</v>
      </c>
      <c r="H290" t="s">
        <v>2278</v>
      </c>
      <c r="I290" t="s">
        <v>996</v>
      </c>
      <c r="J290" t="s">
        <v>997</v>
      </c>
      <c r="K290" t="s">
        <v>998</v>
      </c>
    </row>
    <row r="291" spans="1:11" x14ac:dyDescent="0.15">
      <c r="A291" t="s">
        <v>2273</v>
      </c>
      <c r="B291" t="s">
        <v>2274</v>
      </c>
      <c r="D291" t="s">
        <v>991</v>
      </c>
      <c r="E291" t="s">
        <v>2279</v>
      </c>
      <c r="F291" t="s">
        <v>2280</v>
      </c>
      <c r="G291" t="s">
        <v>2281</v>
      </c>
      <c r="H291" t="s">
        <v>2282</v>
      </c>
      <c r="I291" t="s">
        <v>996</v>
      </c>
      <c r="J291" t="s">
        <v>997</v>
      </c>
      <c r="K291" t="s">
        <v>998</v>
      </c>
    </row>
    <row r="292" spans="1:11" x14ac:dyDescent="0.15">
      <c r="A292" t="s">
        <v>2273</v>
      </c>
      <c r="B292" t="s">
        <v>2274</v>
      </c>
      <c r="D292" t="s">
        <v>991</v>
      </c>
      <c r="E292" t="s">
        <v>2283</v>
      </c>
      <c r="F292" t="s">
        <v>2284</v>
      </c>
      <c r="G292" t="s">
        <v>2285</v>
      </c>
      <c r="H292" t="s">
        <v>2286</v>
      </c>
      <c r="I292" t="s">
        <v>996</v>
      </c>
      <c r="J292" t="s">
        <v>997</v>
      </c>
      <c r="K292" t="s">
        <v>998</v>
      </c>
    </row>
    <row r="293" spans="1:11" x14ac:dyDescent="0.15">
      <c r="A293" t="s">
        <v>2287</v>
      </c>
      <c r="B293" t="s">
        <v>2288</v>
      </c>
      <c r="D293" t="s">
        <v>991</v>
      </c>
      <c r="E293" t="s">
        <v>2289</v>
      </c>
      <c r="F293" t="s">
        <v>2290</v>
      </c>
      <c r="G293" t="s">
        <v>2291</v>
      </c>
      <c r="H293" t="s">
        <v>2292</v>
      </c>
      <c r="I293" t="s">
        <v>996</v>
      </c>
      <c r="J293" t="s">
        <v>997</v>
      </c>
      <c r="K293" t="s">
        <v>998</v>
      </c>
    </row>
    <row r="294" spans="1:11" x14ac:dyDescent="0.15">
      <c r="A294" t="s">
        <v>2287</v>
      </c>
      <c r="B294" t="s">
        <v>2288</v>
      </c>
      <c r="D294" t="s">
        <v>991</v>
      </c>
      <c r="E294" t="s">
        <v>2293</v>
      </c>
      <c r="F294" t="s">
        <v>2294</v>
      </c>
      <c r="G294" t="s">
        <v>2295</v>
      </c>
      <c r="H294" t="s">
        <v>2296</v>
      </c>
      <c r="I294" t="s">
        <v>996</v>
      </c>
      <c r="J294" t="s">
        <v>997</v>
      </c>
      <c r="K294" t="s">
        <v>998</v>
      </c>
    </row>
    <row r="295" spans="1:11" x14ac:dyDescent="0.15">
      <c r="A295" t="s">
        <v>2287</v>
      </c>
      <c r="B295" t="s">
        <v>2288</v>
      </c>
      <c r="D295" t="s">
        <v>991</v>
      </c>
      <c r="E295" t="s">
        <v>2297</v>
      </c>
      <c r="F295" t="s">
        <v>2298</v>
      </c>
      <c r="G295" t="s">
        <v>2299</v>
      </c>
      <c r="H295" t="s">
        <v>2300</v>
      </c>
      <c r="I295" t="s">
        <v>996</v>
      </c>
      <c r="J295" t="s">
        <v>997</v>
      </c>
      <c r="K295" t="s">
        <v>998</v>
      </c>
    </row>
    <row r="296" spans="1:11" x14ac:dyDescent="0.15">
      <c r="A296" t="s">
        <v>2301</v>
      </c>
      <c r="B296" t="s">
        <v>2302</v>
      </c>
      <c r="D296" t="s">
        <v>991</v>
      </c>
      <c r="E296" t="s">
        <v>2303</v>
      </c>
      <c r="F296" t="s">
        <v>2304</v>
      </c>
      <c r="G296" t="s">
        <v>2305</v>
      </c>
      <c r="H296" t="s">
        <v>2306</v>
      </c>
      <c r="I296" t="s">
        <v>996</v>
      </c>
      <c r="J296" t="s">
        <v>997</v>
      </c>
      <c r="K296" t="s">
        <v>998</v>
      </c>
    </row>
    <row r="297" spans="1:11" x14ac:dyDescent="0.15">
      <c r="A297" t="s">
        <v>2301</v>
      </c>
      <c r="B297" t="s">
        <v>2302</v>
      </c>
      <c r="D297" t="s">
        <v>991</v>
      </c>
      <c r="E297" t="s">
        <v>2307</v>
      </c>
      <c r="F297" t="s">
        <v>555</v>
      </c>
      <c r="G297" t="s">
        <v>2308</v>
      </c>
      <c r="H297" t="s">
        <v>553</v>
      </c>
      <c r="I297" t="s">
        <v>996</v>
      </c>
      <c r="J297" t="s">
        <v>997</v>
      </c>
      <c r="K297" t="s">
        <v>998</v>
      </c>
    </row>
    <row r="298" spans="1:11" x14ac:dyDescent="0.15">
      <c r="A298" t="s">
        <v>2309</v>
      </c>
      <c r="B298" t="s">
        <v>2310</v>
      </c>
      <c r="D298" t="s">
        <v>991</v>
      </c>
      <c r="E298" t="s">
        <v>2311</v>
      </c>
      <c r="F298" t="s">
        <v>2312</v>
      </c>
      <c r="G298" t="s">
        <v>2313</v>
      </c>
      <c r="H298" t="s">
        <v>2314</v>
      </c>
      <c r="I298" t="s">
        <v>996</v>
      </c>
      <c r="J298" t="s">
        <v>997</v>
      </c>
      <c r="K298" t="s">
        <v>998</v>
      </c>
    </row>
    <row r="299" spans="1:11" x14ac:dyDescent="0.15">
      <c r="A299" t="s">
        <v>2309</v>
      </c>
      <c r="B299" t="s">
        <v>2310</v>
      </c>
      <c r="D299" t="s">
        <v>991</v>
      </c>
      <c r="E299" t="s">
        <v>2315</v>
      </c>
      <c r="F299" t="s">
        <v>2316</v>
      </c>
      <c r="G299" t="s">
        <v>2317</v>
      </c>
      <c r="H299" t="s">
        <v>2318</v>
      </c>
      <c r="I299" t="s">
        <v>996</v>
      </c>
      <c r="J299" t="s">
        <v>997</v>
      </c>
      <c r="K299" t="s">
        <v>998</v>
      </c>
    </row>
    <row r="300" spans="1:11" x14ac:dyDescent="0.15">
      <c r="A300" t="s">
        <v>2309</v>
      </c>
      <c r="B300" t="s">
        <v>2310</v>
      </c>
      <c r="D300" t="s">
        <v>991</v>
      </c>
      <c r="E300" t="s">
        <v>2319</v>
      </c>
      <c r="F300" t="s">
        <v>2320</v>
      </c>
      <c r="G300" t="s">
        <v>2321</v>
      </c>
      <c r="H300" t="s">
        <v>2322</v>
      </c>
      <c r="I300" t="s">
        <v>996</v>
      </c>
      <c r="J300" t="s">
        <v>997</v>
      </c>
      <c r="K300" t="s">
        <v>998</v>
      </c>
    </row>
    <row r="301" spans="1:11" x14ac:dyDescent="0.15">
      <c r="A301" t="s">
        <v>2309</v>
      </c>
      <c r="B301" t="s">
        <v>2310</v>
      </c>
      <c r="D301" t="s">
        <v>991</v>
      </c>
      <c r="E301" t="s">
        <v>2323</v>
      </c>
      <c r="F301" t="s">
        <v>2324</v>
      </c>
      <c r="G301" t="s">
        <v>2325</v>
      </c>
      <c r="H301" t="s">
        <v>2326</v>
      </c>
      <c r="I301" t="s">
        <v>996</v>
      </c>
      <c r="J301" t="s">
        <v>997</v>
      </c>
      <c r="K301" t="s">
        <v>998</v>
      </c>
    </row>
    <row r="302" spans="1:11" x14ac:dyDescent="0.15">
      <c r="A302" t="s">
        <v>2327</v>
      </c>
      <c r="B302" t="s">
        <v>2328</v>
      </c>
      <c r="D302" t="s">
        <v>991</v>
      </c>
      <c r="E302" t="s">
        <v>2329</v>
      </c>
      <c r="F302" t="s">
        <v>2330</v>
      </c>
      <c r="G302" t="s">
        <v>2331</v>
      </c>
      <c r="H302" t="s">
        <v>2332</v>
      </c>
      <c r="I302" t="s">
        <v>996</v>
      </c>
      <c r="J302" t="s">
        <v>997</v>
      </c>
      <c r="K302" t="s">
        <v>998</v>
      </c>
    </row>
    <row r="303" spans="1:11" x14ac:dyDescent="0.15">
      <c r="A303" t="s">
        <v>2327</v>
      </c>
      <c r="B303" t="s">
        <v>2328</v>
      </c>
      <c r="D303" t="s">
        <v>991</v>
      </c>
      <c r="E303" t="s">
        <v>2333</v>
      </c>
      <c r="F303" t="s">
        <v>2334</v>
      </c>
      <c r="G303" t="s">
        <v>2335</v>
      </c>
      <c r="H303" t="s">
        <v>2336</v>
      </c>
      <c r="I303" t="s">
        <v>996</v>
      </c>
      <c r="J303" t="s">
        <v>997</v>
      </c>
      <c r="K303" t="s">
        <v>998</v>
      </c>
    </row>
    <row r="304" spans="1:11" x14ac:dyDescent="0.15">
      <c r="A304" t="s">
        <v>2337</v>
      </c>
      <c r="B304" t="s">
        <v>2338</v>
      </c>
      <c r="D304" t="s">
        <v>991</v>
      </c>
      <c r="E304" t="s">
        <v>2339</v>
      </c>
      <c r="F304" t="s">
        <v>2340</v>
      </c>
      <c r="G304" t="s">
        <v>2341</v>
      </c>
      <c r="H304" t="s">
        <v>2342</v>
      </c>
      <c r="I304" t="s">
        <v>996</v>
      </c>
      <c r="J304" t="s">
        <v>997</v>
      </c>
      <c r="K304" t="s">
        <v>998</v>
      </c>
    </row>
    <row r="305" spans="1:11" x14ac:dyDescent="0.15">
      <c r="A305" t="s">
        <v>2337</v>
      </c>
      <c r="B305" t="s">
        <v>2338</v>
      </c>
      <c r="D305" t="s">
        <v>991</v>
      </c>
      <c r="E305" t="s">
        <v>2343</v>
      </c>
      <c r="F305" t="s">
        <v>2344</v>
      </c>
      <c r="G305" t="s">
        <v>2345</v>
      </c>
      <c r="H305" t="s">
        <v>2346</v>
      </c>
      <c r="I305" t="s">
        <v>996</v>
      </c>
      <c r="J305" t="s">
        <v>997</v>
      </c>
      <c r="K305" t="s">
        <v>998</v>
      </c>
    </row>
    <row r="306" spans="1:11" x14ac:dyDescent="0.15">
      <c r="A306" t="s">
        <v>2337</v>
      </c>
      <c r="B306" t="s">
        <v>2338</v>
      </c>
      <c r="D306" t="s">
        <v>991</v>
      </c>
      <c r="E306" t="s">
        <v>2347</v>
      </c>
      <c r="F306" t="s">
        <v>569</v>
      </c>
      <c r="G306" t="s">
        <v>2348</v>
      </c>
      <c r="H306" t="s">
        <v>567</v>
      </c>
      <c r="I306" t="s">
        <v>996</v>
      </c>
      <c r="J306" t="s">
        <v>997</v>
      </c>
      <c r="K306" t="s">
        <v>998</v>
      </c>
    </row>
    <row r="307" spans="1:11" s="26" customFormat="1" x14ac:dyDescent="0.15">
      <c r="A307" s="26" t="s">
        <v>2337</v>
      </c>
      <c r="B307" s="26" t="s">
        <v>2338</v>
      </c>
      <c r="D307" s="26" t="s">
        <v>991</v>
      </c>
      <c r="E307" s="26" t="s">
        <v>2349</v>
      </c>
      <c r="H307" s="26" t="s">
        <v>570</v>
      </c>
      <c r="I307" s="26" t="s">
        <v>996</v>
      </c>
      <c r="J307" s="26" t="s">
        <v>997</v>
      </c>
      <c r="K307" s="26" t="s">
        <v>998</v>
      </c>
    </row>
    <row r="308" spans="1:11" x14ac:dyDescent="0.15">
      <c r="A308" t="s">
        <v>2337</v>
      </c>
      <c r="B308" t="s">
        <v>2338</v>
      </c>
      <c r="D308" t="s">
        <v>991</v>
      </c>
      <c r="E308" t="s">
        <v>2349</v>
      </c>
      <c r="F308" t="s">
        <v>2350</v>
      </c>
      <c r="G308" t="s">
        <v>2351</v>
      </c>
      <c r="H308" t="s">
        <v>2352</v>
      </c>
      <c r="I308" t="s">
        <v>996</v>
      </c>
      <c r="J308" t="s">
        <v>997</v>
      </c>
      <c r="K308" t="s">
        <v>998</v>
      </c>
    </row>
    <row r="309" spans="1:11" x14ac:dyDescent="0.15">
      <c r="A309" t="s">
        <v>2353</v>
      </c>
      <c r="B309" t="s">
        <v>2354</v>
      </c>
      <c r="D309" t="s">
        <v>991</v>
      </c>
      <c r="E309" t="s">
        <v>2355</v>
      </c>
      <c r="F309" t="s">
        <v>2356</v>
      </c>
      <c r="G309" t="s">
        <v>2357</v>
      </c>
      <c r="H309" t="s">
        <v>2358</v>
      </c>
      <c r="I309" t="s">
        <v>996</v>
      </c>
      <c r="J309" t="s">
        <v>997</v>
      </c>
      <c r="K309" t="s">
        <v>998</v>
      </c>
    </row>
    <row r="310" spans="1:11" x14ac:dyDescent="0.15">
      <c r="A310" t="s">
        <v>2353</v>
      </c>
      <c r="B310" t="s">
        <v>2354</v>
      </c>
      <c r="D310" t="s">
        <v>991</v>
      </c>
      <c r="E310" t="s">
        <v>2359</v>
      </c>
      <c r="F310" t="s">
        <v>2360</v>
      </c>
      <c r="G310" t="s">
        <v>2361</v>
      </c>
      <c r="H310" t="s">
        <v>2362</v>
      </c>
      <c r="I310" t="s">
        <v>996</v>
      </c>
      <c r="J310" t="s">
        <v>997</v>
      </c>
      <c r="K310" t="s">
        <v>998</v>
      </c>
    </row>
    <row r="311" spans="1:11" x14ac:dyDescent="0.15">
      <c r="A311" t="s">
        <v>2363</v>
      </c>
      <c r="B311" t="s">
        <v>2364</v>
      </c>
      <c r="D311" t="s">
        <v>991</v>
      </c>
      <c r="E311" t="s">
        <v>2365</v>
      </c>
      <c r="F311" t="s">
        <v>2366</v>
      </c>
      <c r="G311" t="s">
        <v>2367</v>
      </c>
      <c r="H311" t="s">
        <v>2368</v>
      </c>
      <c r="I311" t="s">
        <v>996</v>
      </c>
      <c r="J311" t="s">
        <v>997</v>
      </c>
      <c r="K311" t="s">
        <v>998</v>
      </c>
    </row>
    <row r="312" spans="1:11" x14ac:dyDescent="0.15">
      <c r="A312" t="s">
        <v>2363</v>
      </c>
      <c r="B312" t="s">
        <v>2364</v>
      </c>
      <c r="D312" t="s">
        <v>991</v>
      </c>
      <c r="E312" t="s">
        <v>2369</v>
      </c>
      <c r="F312" t="s">
        <v>2370</v>
      </c>
      <c r="G312" t="s">
        <v>2371</v>
      </c>
      <c r="H312" t="s">
        <v>2372</v>
      </c>
      <c r="I312" t="s">
        <v>996</v>
      </c>
      <c r="J312" t="s">
        <v>997</v>
      </c>
      <c r="K312" t="s">
        <v>998</v>
      </c>
    </row>
    <row r="313" spans="1:11" x14ac:dyDescent="0.15">
      <c r="A313" t="s">
        <v>2373</v>
      </c>
      <c r="B313" t="s">
        <v>2374</v>
      </c>
      <c r="D313" t="s">
        <v>991</v>
      </c>
      <c r="E313" t="s">
        <v>2375</v>
      </c>
      <c r="F313" t="s">
        <v>2376</v>
      </c>
      <c r="G313" t="s">
        <v>2377</v>
      </c>
      <c r="H313" t="s">
        <v>2378</v>
      </c>
      <c r="I313" t="s">
        <v>996</v>
      </c>
      <c r="J313" t="s">
        <v>997</v>
      </c>
      <c r="K313" t="s">
        <v>998</v>
      </c>
    </row>
    <row r="314" spans="1:11" x14ac:dyDescent="0.15">
      <c r="A314" t="s">
        <v>2373</v>
      </c>
      <c r="B314" t="s">
        <v>2374</v>
      </c>
      <c r="D314" t="s">
        <v>991</v>
      </c>
      <c r="E314" t="s">
        <v>2379</v>
      </c>
      <c r="F314" t="s">
        <v>2380</v>
      </c>
      <c r="G314" t="s">
        <v>2381</v>
      </c>
      <c r="H314" t="s">
        <v>2382</v>
      </c>
      <c r="I314" t="s">
        <v>996</v>
      </c>
      <c r="J314" t="s">
        <v>997</v>
      </c>
      <c r="K314" t="s">
        <v>998</v>
      </c>
    </row>
    <row r="315" spans="1:11" x14ac:dyDescent="0.15">
      <c r="A315" t="s">
        <v>2383</v>
      </c>
      <c r="B315" t="s">
        <v>2384</v>
      </c>
      <c r="D315" t="s">
        <v>991</v>
      </c>
      <c r="E315" t="s">
        <v>2385</v>
      </c>
      <c r="F315" t="s">
        <v>2386</v>
      </c>
      <c r="G315" t="s">
        <v>2387</v>
      </c>
      <c r="H315" t="s">
        <v>2388</v>
      </c>
      <c r="I315" t="s">
        <v>996</v>
      </c>
      <c r="J315" t="s">
        <v>997</v>
      </c>
      <c r="K315" t="s">
        <v>998</v>
      </c>
    </row>
    <row r="316" spans="1:11" x14ac:dyDescent="0.15">
      <c r="A316" t="s">
        <v>2389</v>
      </c>
      <c r="B316" t="s">
        <v>2390</v>
      </c>
      <c r="D316" t="s">
        <v>991</v>
      </c>
      <c r="E316" t="s">
        <v>2391</v>
      </c>
      <c r="F316" t="s">
        <v>2392</v>
      </c>
      <c r="G316" t="s">
        <v>2393</v>
      </c>
      <c r="H316" t="s">
        <v>2394</v>
      </c>
      <c r="I316" t="s">
        <v>996</v>
      </c>
      <c r="J316" t="s">
        <v>997</v>
      </c>
      <c r="K316" t="s">
        <v>998</v>
      </c>
    </row>
    <row r="317" spans="1:11" x14ac:dyDescent="0.15">
      <c r="A317" t="s">
        <v>2395</v>
      </c>
      <c r="B317" t="s">
        <v>2396</v>
      </c>
      <c r="D317" t="s">
        <v>991</v>
      </c>
      <c r="E317" t="s">
        <v>2397</v>
      </c>
      <c r="F317" t="s">
        <v>2398</v>
      </c>
      <c r="G317" t="s">
        <v>2399</v>
      </c>
      <c r="H317" t="s">
        <v>2400</v>
      </c>
      <c r="I317" t="s">
        <v>996</v>
      </c>
      <c r="J317" t="s">
        <v>997</v>
      </c>
      <c r="K317" t="s">
        <v>998</v>
      </c>
    </row>
    <row r="318" spans="1:11" x14ac:dyDescent="0.15">
      <c r="A318" t="s">
        <v>2401</v>
      </c>
      <c r="B318" t="s">
        <v>2402</v>
      </c>
      <c r="D318" t="s">
        <v>991</v>
      </c>
      <c r="E318" t="s">
        <v>2403</v>
      </c>
      <c r="F318" t="s">
        <v>2404</v>
      </c>
      <c r="G318" t="s">
        <v>2405</v>
      </c>
      <c r="H318" t="s">
        <v>2406</v>
      </c>
      <c r="I318" t="s">
        <v>996</v>
      </c>
      <c r="J318" t="s">
        <v>997</v>
      </c>
      <c r="K318" t="s">
        <v>998</v>
      </c>
    </row>
    <row r="319" spans="1:11" x14ac:dyDescent="0.15">
      <c r="A319" t="s">
        <v>2401</v>
      </c>
      <c r="B319" t="s">
        <v>2402</v>
      </c>
      <c r="D319" t="s">
        <v>991</v>
      </c>
      <c r="E319" t="s">
        <v>2407</v>
      </c>
      <c r="F319" t="s">
        <v>2408</v>
      </c>
      <c r="G319" t="s">
        <v>2409</v>
      </c>
      <c r="H319" t="s">
        <v>2410</v>
      </c>
      <c r="I319" t="s">
        <v>996</v>
      </c>
      <c r="J319" t="s">
        <v>997</v>
      </c>
      <c r="K319" t="s">
        <v>998</v>
      </c>
    </row>
    <row r="320" spans="1:11" x14ac:dyDescent="0.15">
      <c r="A320" t="s">
        <v>2411</v>
      </c>
      <c r="B320" t="s">
        <v>2412</v>
      </c>
      <c r="D320" t="s">
        <v>991</v>
      </c>
      <c r="E320" t="s">
        <v>2413</v>
      </c>
      <c r="F320" t="s">
        <v>579</v>
      </c>
      <c r="G320" t="s">
        <v>2414</v>
      </c>
      <c r="H320" t="s">
        <v>577</v>
      </c>
      <c r="I320" t="s">
        <v>996</v>
      </c>
      <c r="J320" t="s">
        <v>997</v>
      </c>
      <c r="K320" t="s">
        <v>998</v>
      </c>
    </row>
    <row r="321" spans="1:11" x14ac:dyDescent="0.15">
      <c r="A321" t="s">
        <v>2415</v>
      </c>
      <c r="B321" t="s">
        <v>2416</v>
      </c>
      <c r="D321" t="s">
        <v>991</v>
      </c>
      <c r="E321" t="s">
        <v>2417</v>
      </c>
      <c r="F321" t="s">
        <v>2418</v>
      </c>
      <c r="G321" t="s">
        <v>2419</v>
      </c>
      <c r="H321" t="s">
        <v>2420</v>
      </c>
      <c r="I321" t="s">
        <v>996</v>
      </c>
      <c r="J321" t="s">
        <v>997</v>
      </c>
      <c r="K321" t="s">
        <v>998</v>
      </c>
    </row>
    <row r="322" spans="1:11" x14ac:dyDescent="0.15">
      <c r="A322" t="s">
        <v>2415</v>
      </c>
      <c r="B322" t="s">
        <v>2416</v>
      </c>
      <c r="D322" t="s">
        <v>991</v>
      </c>
      <c r="E322" t="s">
        <v>2421</v>
      </c>
      <c r="F322" t="s">
        <v>2422</v>
      </c>
      <c r="G322" t="s">
        <v>2423</v>
      </c>
      <c r="H322" t="s">
        <v>2424</v>
      </c>
      <c r="I322" t="s">
        <v>996</v>
      </c>
      <c r="J322" t="s">
        <v>997</v>
      </c>
      <c r="K322" t="s">
        <v>998</v>
      </c>
    </row>
    <row r="323" spans="1:11" x14ac:dyDescent="0.15">
      <c r="A323" t="s">
        <v>2425</v>
      </c>
      <c r="B323" t="s">
        <v>575</v>
      </c>
      <c r="D323" t="s">
        <v>991</v>
      </c>
      <c r="E323" t="s">
        <v>2426</v>
      </c>
      <c r="F323" t="s">
        <v>575</v>
      </c>
      <c r="G323" t="s">
        <v>2427</v>
      </c>
      <c r="H323" t="s">
        <v>573</v>
      </c>
      <c r="I323" t="s">
        <v>996</v>
      </c>
      <c r="J323" t="s">
        <v>997</v>
      </c>
      <c r="K323" t="s">
        <v>998</v>
      </c>
    </row>
    <row r="324" spans="1:11" x14ac:dyDescent="0.15">
      <c r="A324" t="s">
        <v>2428</v>
      </c>
      <c r="B324" t="s">
        <v>2429</v>
      </c>
      <c r="D324" t="s">
        <v>991</v>
      </c>
      <c r="E324" t="s">
        <v>2430</v>
      </c>
      <c r="F324" t="s">
        <v>2431</v>
      </c>
      <c r="G324" t="s">
        <v>2432</v>
      </c>
      <c r="H324" t="s">
        <v>2433</v>
      </c>
      <c r="I324" t="s">
        <v>996</v>
      </c>
      <c r="J324" t="s">
        <v>997</v>
      </c>
      <c r="K324" t="s">
        <v>998</v>
      </c>
    </row>
    <row r="325" spans="1:11" x14ac:dyDescent="0.15">
      <c r="A325" t="s">
        <v>2434</v>
      </c>
      <c r="B325" t="s">
        <v>2435</v>
      </c>
      <c r="D325" t="s">
        <v>991</v>
      </c>
      <c r="E325" t="s">
        <v>2436</v>
      </c>
      <c r="F325" t="s">
        <v>2437</v>
      </c>
      <c r="G325" t="s">
        <v>2438</v>
      </c>
      <c r="H325" t="s">
        <v>2439</v>
      </c>
      <c r="I325" t="s">
        <v>996</v>
      </c>
      <c r="J325" t="s">
        <v>997</v>
      </c>
      <c r="K325" t="s">
        <v>998</v>
      </c>
    </row>
    <row r="326" spans="1:11" x14ac:dyDescent="0.15">
      <c r="A326" t="s">
        <v>2440</v>
      </c>
      <c r="B326" t="s">
        <v>2441</v>
      </c>
      <c r="D326" t="s">
        <v>991</v>
      </c>
      <c r="E326" t="s">
        <v>2442</v>
      </c>
      <c r="F326" t="s">
        <v>2443</v>
      </c>
      <c r="G326" t="s">
        <v>2444</v>
      </c>
      <c r="H326" t="s">
        <v>2445</v>
      </c>
      <c r="I326" t="s">
        <v>996</v>
      </c>
      <c r="J326" t="s">
        <v>997</v>
      </c>
      <c r="K326" t="s">
        <v>998</v>
      </c>
    </row>
    <row r="327" spans="1:11" x14ac:dyDescent="0.15">
      <c r="A327" t="s">
        <v>2440</v>
      </c>
      <c r="B327" t="s">
        <v>2441</v>
      </c>
      <c r="D327" t="s">
        <v>991</v>
      </c>
      <c r="E327" t="s">
        <v>2446</v>
      </c>
      <c r="F327" t="s">
        <v>2447</v>
      </c>
      <c r="G327" t="s">
        <v>2448</v>
      </c>
      <c r="H327" t="s">
        <v>2449</v>
      </c>
      <c r="I327" t="s">
        <v>996</v>
      </c>
      <c r="J327" t="s">
        <v>997</v>
      </c>
      <c r="K327" t="s">
        <v>998</v>
      </c>
    </row>
    <row r="328" spans="1:11" x14ac:dyDescent="0.15">
      <c r="A328" t="s">
        <v>2450</v>
      </c>
      <c r="B328" t="s">
        <v>2451</v>
      </c>
      <c r="D328" t="s">
        <v>991</v>
      </c>
      <c r="E328" t="s">
        <v>2452</v>
      </c>
      <c r="F328" t="s">
        <v>2453</v>
      </c>
      <c r="G328" t="s">
        <v>2454</v>
      </c>
      <c r="H328" t="s">
        <v>2455</v>
      </c>
      <c r="I328" t="s">
        <v>996</v>
      </c>
      <c r="J328" t="s">
        <v>997</v>
      </c>
      <c r="K328" t="s">
        <v>998</v>
      </c>
    </row>
    <row r="329" spans="1:11" x14ac:dyDescent="0.15">
      <c r="A329" t="s">
        <v>2450</v>
      </c>
      <c r="B329" t="s">
        <v>2451</v>
      </c>
      <c r="D329" t="s">
        <v>991</v>
      </c>
      <c r="E329" t="s">
        <v>2456</v>
      </c>
      <c r="F329" t="s">
        <v>2457</v>
      </c>
      <c r="G329" t="s">
        <v>2458</v>
      </c>
      <c r="H329" t="s">
        <v>2459</v>
      </c>
      <c r="I329" t="s">
        <v>996</v>
      </c>
      <c r="J329" t="s">
        <v>997</v>
      </c>
      <c r="K329" t="s">
        <v>998</v>
      </c>
    </row>
    <row r="330" spans="1:11" x14ac:dyDescent="0.15">
      <c r="A330" t="s">
        <v>2460</v>
      </c>
      <c r="B330" t="s">
        <v>2461</v>
      </c>
      <c r="D330" t="s">
        <v>991</v>
      </c>
      <c r="E330" t="s">
        <v>2462</v>
      </c>
      <c r="F330" t="s">
        <v>2463</v>
      </c>
      <c r="G330" t="s">
        <v>2464</v>
      </c>
      <c r="H330" t="s">
        <v>2465</v>
      </c>
      <c r="I330" t="s">
        <v>996</v>
      </c>
      <c r="J330" t="s">
        <v>997</v>
      </c>
      <c r="K330" t="s">
        <v>998</v>
      </c>
    </row>
    <row r="331" spans="1:11" x14ac:dyDescent="0.15">
      <c r="A331" t="s">
        <v>2466</v>
      </c>
      <c r="B331" t="s">
        <v>2467</v>
      </c>
      <c r="D331" t="s">
        <v>991</v>
      </c>
      <c r="E331" t="s">
        <v>2468</v>
      </c>
      <c r="F331" t="s">
        <v>2469</v>
      </c>
      <c r="G331" t="s">
        <v>2470</v>
      </c>
      <c r="H331" t="s">
        <v>2471</v>
      </c>
      <c r="I331" t="s">
        <v>996</v>
      </c>
      <c r="J331" t="s">
        <v>997</v>
      </c>
      <c r="K331" t="s">
        <v>998</v>
      </c>
    </row>
    <row r="332" spans="1:11" x14ac:dyDescent="0.15">
      <c r="A332" t="s">
        <v>2466</v>
      </c>
      <c r="B332" t="s">
        <v>2467</v>
      </c>
      <c r="D332" t="s">
        <v>991</v>
      </c>
      <c r="E332" t="s">
        <v>2472</v>
      </c>
      <c r="F332" t="s">
        <v>2473</v>
      </c>
      <c r="G332" t="s">
        <v>2474</v>
      </c>
      <c r="H332" t="s">
        <v>2475</v>
      </c>
      <c r="I332" t="s">
        <v>996</v>
      </c>
      <c r="J332" t="s">
        <v>997</v>
      </c>
      <c r="K332" t="s">
        <v>998</v>
      </c>
    </row>
    <row r="333" spans="1:11" x14ac:dyDescent="0.15">
      <c r="A333" t="s">
        <v>2476</v>
      </c>
      <c r="B333" t="s">
        <v>2477</v>
      </c>
      <c r="D333" t="s">
        <v>991</v>
      </c>
      <c r="E333" t="s">
        <v>2478</v>
      </c>
      <c r="F333" t="s">
        <v>2479</v>
      </c>
      <c r="G333" t="s">
        <v>2480</v>
      </c>
      <c r="H333" t="s">
        <v>2481</v>
      </c>
      <c r="I333" t="s">
        <v>996</v>
      </c>
      <c r="J333" t="s">
        <v>997</v>
      </c>
      <c r="K333" t="s">
        <v>998</v>
      </c>
    </row>
    <row r="334" spans="1:11" x14ac:dyDescent="0.15">
      <c r="A334" t="s">
        <v>2476</v>
      </c>
      <c r="B334" t="s">
        <v>2477</v>
      </c>
      <c r="D334" t="s">
        <v>991</v>
      </c>
      <c r="E334" t="s">
        <v>2482</v>
      </c>
      <c r="F334" t="s">
        <v>2483</v>
      </c>
      <c r="G334" t="s">
        <v>2484</v>
      </c>
      <c r="H334" t="s">
        <v>2485</v>
      </c>
      <c r="I334" t="s">
        <v>996</v>
      </c>
      <c r="J334" t="s">
        <v>997</v>
      </c>
      <c r="K334" t="s">
        <v>998</v>
      </c>
    </row>
    <row r="335" spans="1:11" x14ac:dyDescent="0.15">
      <c r="A335" t="s">
        <v>2486</v>
      </c>
      <c r="B335" t="s">
        <v>2487</v>
      </c>
      <c r="D335" t="s">
        <v>991</v>
      </c>
      <c r="E335" t="s">
        <v>2488</v>
      </c>
      <c r="F335" t="s">
        <v>582</v>
      </c>
      <c r="G335" t="s">
        <v>2489</v>
      </c>
      <c r="H335" t="s">
        <v>580</v>
      </c>
      <c r="I335" t="s">
        <v>996</v>
      </c>
      <c r="J335" t="s">
        <v>997</v>
      </c>
      <c r="K335" t="s">
        <v>998</v>
      </c>
    </row>
    <row r="336" spans="1:11" x14ac:dyDescent="0.15">
      <c r="A336" t="s">
        <v>2486</v>
      </c>
      <c r="B336" t="s">
        <v>2487</v>
      </c>
      <c r="D336" t="s">
        <v>991</v>
      </c>
      <c r="E336" t="s">
        <v>2490</v>
      </c>
      <c r="F336" t="s">
        <v>2491</v>
      </c>
      <c r="G336" t="s">
        <v>2492</v>
      </c>
      <c r="H336" t="s">
        <v>585</v>
      </c>
      <c r="I336" t="s">
        <v>996</v>
      </c>
      <c r="J336" t="s">
        <v>997</v>
      </c>
      <c r="K336" t="s">
        <v>998</v>
      </c>
    </row>
    <row r="337" spans="1:11" x14ac:dyDescent="0.15">
      <c r="A337" t="s">
        <v>2493</v>
      </c>
      <c r="B337" t="s">
        <v>599</v>
      </c>
      <c r="D337" t="s">
        <v>991</v>
      </c>
      <c r="E337" t="s">
        <v>2494</v>
      </c>
      <c r="F337" t="s">
        <v>2495</v>
      </c>
      <c r="G337" t="s">
        <v>2496</v>
      </c>
      <c r="H337" t="s">
        <v>2497</v>
      </c>
      <c r="I337" t="s">
        <v>996</v>
      </c>
      <c r="J337" t="s">
        <v>997</v>
      </c>
      <c r="K337" t="s">
        <v>998</v>
      </c>
    </row>
    <row r="338" spans="1:11" x14ac:dyDescent="0.15">
      <c r="A338" t="s">
        <v>2493</v>
      </c>
      <c r="B338" t="s">
        <v>599</v>
      </c>
      <c r="D338" t="s">
        <v>991</v>
      </c>
      <c r="E338" t="s">
        <v>2498</v>
      </c>
      <c r="F338" t="s">
        <v>599</v>
      </c>
      <c r="G338" t="s">
        <v>2499</v>
      </c>
      <c r="H338" t="s">
        <v>597</v>
      </c>
      <c r="I338" t="s">
        <v>996</v>
      </c>
      <c r="J338" t="s">
        <v>997</v>
      </c>
      <c r="K338" t="s">
        <v>998</v>
      </c>
    </row>
    <row r="339" spans="1:11" x14ac:dyDescent="0.15">
      <c r="A339" t="s">
        <v>2500</v>
      </c>
      <c r="B339" t="s">
        <v>2501</v>
      </c>
      <c r="D339" t="s">
        <v>991</v>
      </c>
      <c r="E339" t="s">
        <v>2502</v>
      </c>
      <c r="F339" t="s">
        <v>2503</v>
      </c>
      <c r="G339" t="s">
        <v>2504</v>
      </c>
      <c r="H339" t="s">
        <v>2505</v>
      </c>
      <c r="I339" t="s">
        <v>996</v>
      </c>
      <c r="J339" t="s">
        <v>997</v>
      </c>
      <c r="K339" t="s">
        <v>998</v>
      </c>
    </row>
    <row r="340" spans="1:11" x14ac:dyDescent="0.15">
      <c r="A340" t="s">
        <v>2506</v>
      </c>
      <c r="B340" t="s">
        <v>2507</v>
      </c>
      <c r="D340" t="s">
        <v>991</v>
      </c>
      <c r="E340" t="s">
        <v>2508</v>
      </c>
      <c r="F340" t="s">
        <v>560</v>
      </c>
      <c r="G340" t="s">
        <v>2509</v>
      </c>
      <c r="H340" t="s">
        <v>558</v>
      </c>
      <c r="I340" t="s">
        <v>996</v>
      </c>
      <c r="J340" t="s">
        <v>997</v>
      </c>
      <c r="K340" t="s">
        <v>998</v>
      </c>
    </row>
    <row r="341" spans="1:11" x14ac:dyDescent="0.15">
      <c r="A341" t="s">
        <v>2510</v>
      </c>
      <c r="B341" t="s">
        <v>2511</v>
      </c>
      <c r="D341" t="s">
        <v>991</v>
      </c>
      <c r="E341" t="s">
        <v>2512</v>
      </c>
      <c r="F341" t="s">
        <v>2513</v>
      </c>
      <c r="G341" t="s">
        <v>2514</v>
      </c>
      <c r="H341" t="s">
        <v>2515</v>
      </c>
      <c r="I341" t="s">
        <v>996</v>
      </c>
      <c r="J341" t="s">
        <v>997</v>
      </c>
      <c r="K341" t="s">
        <v>998</v>
      </c>
    </row>
    <row r="342" spans="1:11" x14ac:dyDescent="0.15">
      <c r="A342" t="s">
        <v>2516</v>
      </c>
      <c r="B342" t="s">
        <v>2516</v>
      </c>
      <c r="D342" t="s">
        <v>991</v>
      </c>
      <c r="E342" t="s">
        <v>2517</v>
      </c>
      <c r="F342" t="s">
        <v>2518</v>
      </c>
      <c r="G342" t="s">
        <v>2519</v>
      </c>
      <c r="H342" t="s">
        <v>2520</v>
      </c>
      <c r="I342" t="s">
        <v>996</v>
      </c>
      <c r="J342" t="s">
        <v>997</v>
      </c>
      <c r="K342" t="s">
        <v>998</v>
      </c>
    </row>
    <row r="343" spans="1:11" x14ac:dyDescent="0.15">
      <c r="A343" t="s">
        <v>2521</v>
      </c>
      <c r="B343" t="s">
        <v>2522</v>
      </c>
      <c r="D343" t="s">
        <v>991</v>
      </c>
      <c r="E343" t="s">
        <v>2523</v>
      </c>
      <c r="F343" t="s">
        <v>2524</v>
      </c>
      <c r="G343" t="s">
        <v>2525</v>
      </c>
      <c r="H343" t="s">
        <v>2526</v>
      </c>
      <c r="I343" t="s">
        <v>996</v>
      </c>
      <c r="J343" t="s">
        <v>997</v>
      </c>
      <c r="K343" t="s">
        <v>998</v>
      </c>
    </row>
    <row r="344" spans="1:11" x14ac:dyDescent="0.15">
      <c r="A344" t="s">
        <v>2521</v>
      </c>
      <c r="B344" t="s">
        <v>2522</v>
      </c>
      <c r="D344" t="s">
        <v>991</v>
      </c>
      <c r="E344" t="s">
        <v>2527</v>
      </c>
      <c r="F344" t="s">
        <v>2528</v>
      </c>
      <c r="G344" t="s">
        <v>2529</v>
      </c>
      <c r="H344" t="s">
        <v>2530</v>
      </c>
      <c r="I344" t="s">
        <v>996</v>
      </c>
      <c r="J344" t="s">
        <v>997</v>
      </c>
      <c r="K344" t="s">
        <v>998</v>
      </c>
    </row>
    <row r="345" spans="1:11" x14ac:dyDescent="0.15">
      <c r="A345" t="s">
        <v>2521</v>
      </c>
      <c r="B345" t="s">
        <v>2522</v>
      </c>
      <c r="D345" t="s">
        <v>991</v>
      </c>
      <c r="E345" t="s">
        <v>2531</v>
      </c>
      <c r="F345" t="s">
        <v>2532</v>
      </c>
      <c r="G345" t="s">
        <v>2533</v>
      </c>
      <c r="H345" t="s">
        <v>2534</v>
      </c>
      <c r="I345" t="s">
        <v>996</v>
      </c>
      <c r="J345" t="s">
        <v>997</v>
      </c>
      <c r="K345" t="s">
        <v>998</v>
      </c>
    </row>
    <row r="346" spans="1:11" x14ac:dyDescent="0.15">
      <c r="A346" t="s">
        <v>2521</v>
      </c>
      <c r="B346" t="s">
        <v>2522</v>
      </c>
      <c r="D346" t="s">
        <v>991</v>
      </c>
      <c r="E346" t="s">
        <v>2535</v>
      </c>
      <c r="F346" t="s">
        <v>2536</v>
      </c>
      <c r="G346" t="s">
        <v>2537</v>
      </c>
      <c r="H346" t="s">
        <v>2538</v>
      </c>
      <c r="I346" t="s">
        <v>996</v>
      </c>
      <c r="J346" t="s">
        <v>997</v>
      </c>
      <c r="K346" t="s">
        <v>998</v>
      </c>
    </row>
    <row r="347" spans="1:11" x14ac:dyDescent="0.15">
      <c r="A347" t="s">
        <v>2521</v>
      </c>
      <c r="B347" t="s">
        <v>2522</v>
      </c>
      <c r="D347" t="s">
        <v>991</v>
      </c>
      <c r="E347" t="s">
        <v>2539</v>
      </c>
      <c r="F347" t="s">
        <v>2540</v>
      </c>
      <c r="G347" t="s">
        <v>2541</v>
      </c>
      <c r="H347" t="s">
        <v>2542</v>
      </c>
      <c r="I347" t="s">
        <v>996</v>
      </c>
      <c r="J347" t="s">
        <v>997</v>
      </c>
      <c r="K347" t="s">
        <v>998</v>
      </c>
    </row>
    <row r="348" spans="1:11" x14ac:dyDescent="0.15">
      <c r="A348" t="s">
        <v>2543</v>
      </c>
      <c r="B348" t="s">
        <v>2544</v>
      </c>
      <c r="D348" t="s">
        <v>991</v>
      </c>
      <c r="E348" t="s">
        <v>2545</v>
      </c>
      <c r="F348" t="s">
        <v>2546</v>
      </c>
      <c r="G348" t="s">
        <v>2547</v>
      </c>
      <c r="H348" t="s">
        <v>2548</v>
      </c>
      <c r="I348" t="s">
        <v>996</v>
      </c>
      <c r="J348" t="s">
        <v>997</v>
      </c>
      <c r="K348" t="s">
        <v>998</v>
      </c>
    </row>
    <row r="349" spans="1:11" x14ac:dyDescent="0.15">
      <c r="A349" t="s">
        <v>2543</v>
      </c>
      <c r="B349" t="s">
        <v>2544</v>
      </c>
      <c r="D349" t="s">
        <v>991</v>
      </c>
      <c r="E349" t="s">
        <v>2549</v>
      </c>
      <c r="F349" t="s">
        <v>2550</v>
      </c>
      <c r="G349" t="s">
        <v>2551</v>
      </c>
      <c r="H349" t="s">
        <v>2552</v>
      </c>
      <c r="I349" t="s">
        <v>996</v>
      </c>
      <c r="J349" t="s">
        <v>997</v>
      </c>
      <c r="K349" t="s">
        <v>998</v>
      </c>
    </row>
    <row r="350" spans="1:11" x14ac:dyDescent="0.15">
      <c r="A350" t="s">
        <v>2553</v>
      </c>
      <c r="B350" t="s">
        <v>2554</v>
      </c>
      <c r="D350" t="s">
        <v>991</v>
      </c>
      <c r="E350" t="s">
        <v>2555</v>
      </c>
      <c r="F350" t="s">
        <v>2556</v>
      </c>
      <c r="G350" t="s">
        <v>2557</v>
      </c>
      <c r="H350" t="s">
        <v>2558</v>
      </c>
      <c r="I350" t="s">
        <v>996</v>
      </c>
      <c r="J350" t="s">
        <v>997</v>
      </c>
      <c r="K350" t="s">
        <v>998</v>
      </c>
    </row>
    <row r="351" spans="1:11" x14ac:dyDescent="0.15">
      <c r="A351" t="s">
        <v>2559</v>
      </c>
      <c r="B351" t="s">
        <v>2560</v>
      </c>
      <c r="D351" t="s">
        <v>991</v>
      </c>
      <c r="E351" t="s">
        <v>2561</v>
      </c>
      <c r="F351" t="s">
        <v>2562</v>
      </c>
      <c r="G351" t="s">
        <v>2563</v>
      </c>
      <c r="H351" t="s">
        <v>2564</v>
      </c>
      <c r="I351" t="s">
        <v>996</v>
      </c>
      <c r="J351" t="s">
        <v>997</v>
      </c>
      <c r="K351" t="s">
        <v>998</v>
      </c>
    </row>
    <row r="352" spans="1:11" x14ac:dyDescent="0.15">
      <c r="A352" t="s">
        <v>2565</v>
      </c>
      <c r="B352" t="s">
        <v>2566</v>
      </c>
      <c r="D352" t="s">
        <v>991</v>
      </c>
      <c r="E352" t="s">
        <v>2567</v>
      </c>
      <c r="F352" t="s">
        <v>2568</v>
      </c>
      <c r="G352" t="s">
        <v>2569</v>
      </c>
      <c r="H352" t="s">
        <v>2570</v>
      </c>
      <c r="I352" t="s">
        <v>996</v>
      </c>
      <c r="J352" t="s">
        <v>997</v>
      </c>
      <c r="K352" t="s">
        <v>998</v>
      </c>
    </row>
    <row r="353" spans="1:11" x14ac:dyDescent="0.15">
      <c r="A353" t="s">
        <v>2571</v>
      </c>
      <c r="B353" t="s">
        <v>2572</v>
      </c>
      <c r="D353" t="s">
        <v>991</v>
      </c>
      <c r="E353" t="s">
        <v>2573</v>
      </c>
      <c r="F353" t="s">
        <v>2574</v>
      </c>
      <c r="G353" t="s">
        <v>2575</v>
      </c>
      <c r="H353" t="s">
        <v>2576</v>
      </c>
      <c r="I353" t="s">
        <v>996</v>
      </c>
      <c r="J353" t="s">
        <v>997</v>
      </c>
      <c r="K353" t="s">
        <v>998</v>
      </c>
    </row>
    <row r="354" spans="1:11" x14ac:dyDescent="0.15">
      <c r="A354" t="s">
        <v>2577</v>
      </c>
      <c r="B354" t="s">
        <v>2578</v>
      </c>
      <c r="D354" t="s">
        <v>991</v>
      </c>
      <c r="E354" t="s">
        <v>2579</v>
      </c>
      <c r="F354" t="s">
        <v>2580</v>
      </c>
      <c r="G354" t="s">
        <v>2581</v>
      </c>
      <c r="H354" t="s">
        <v>2582</v>
      </c>
      <c r="I354" t="s">
        <v>996</v>
      </c>
      <c r="J354" t="s">
        <v>997</v>
      </c>
      <c r="K354" t="s">
        <v>998</v>
      </c>
    </row>
    <row r="355" spans="1:11" x14ac:dyDescent="0.15">
      <c r="A355" t="s">
        <v>2583</v>
      </c>
      <c r="B355" t="s">
        <v>2584</v>
      </c>
      <c r="D355" t="s">
        <v>991</v>
      </c>
      <c r="E355" t="s">
        <v>2585</v>
      </c>
      <c r="F355" t="s">
        <v>2586</v>
      </c>
      <c r="G355" t="s">
        <v>2587</v>
      </c>
      <c r="H355" t="s">
        <v>2588</v>
      </c>
      <c r="I355" t="s">
        <v>996</v>
      </c>
      <c r="J355" t="s">
        <v>997</v>
      </c>
      <c r="K355" t="s">
        <v>998</v>
      </c>
    </row>
    <row r="356" spans="1:11" x14ac:dyDescent="0.15">
      <c r="A356" t="s">
        <v>2589</v>
      </c>
      <c r="B356" t="s">
        <v>2590</v>
      </c>
      <c r="D356" t="s">
        <v>991</v>
      </c>
      <c r="E356" t="s">
        <v>2591</v>
      </c>
      <c r="F356" t="s">
        <v>2592</v>
      </c>
      <c r="G356" t="s">
        <v>2593</v>
      </c>
      <c r="H356" t="s">
        <v>2594</v>
      </c>
      <c r="I356" t="s">
        <v>996</v>
      </c>
      <c r="J356" t="s">
        <v>997</v>
      </c>
      <c r="K356" t="s">
        <v>998</v>
      </c>
    </row>
    <row r="357" spans="1:11" x14ac:dyDescent="0.15">
      <c r="A357" t="s">
        <v>2595</v>
      </c>
      <c r="B357" t="s">
        <v>2596</v>
      </c>
      <c r="D357" t="s">
        <v>991</v>
      </c>
      <c r="E357" t="s">
        <v>2597</v>
      </c>
      <c r="F357" t="s">
        <v>789</v>
      </c>
      <c r="G357" t="s">
        <v>2598</v>
      </c>
      <c r="H357" t="s">
        <v>787</v>
      </c>
      <c r="I357" t="s">
        <v>996</v>
      </c>
      <c r="J357" t="s">
        <v>997</v>
      </c>
      <c r="K357" t="s">
        <v>998</v>
      </c>
    </row>
    <row r="358" spans="1:11" x14ac:dyDescent="0.15">
      <c r="A358" t="s">
        <v>2595</v>
      </c>
      <c r="B358" t="s">
        <v>2596</v>
      </c>
      <c r="D358" t="s">
        <v>991</v>
      </c>
      <c r="E358" t="s">
        <v>2599</v>
      </c>
      <c r="F358" t="s">
        <v>786</v>
      </c>
      <c r="G358" t="s">
        <v>2600</v>
      </c>
      <c r="H358" t="s">
        <v>784</v>
      </c>
      <c r="I358" t="s">
        <v>996</v>
      </c>
      <c r="J358" t="s">
        <v>997</v>
      </c>
      <c r="K358" t="s">
        <v>998</v>
      </c>
    </row>
    <row r="359" spans="1:11" x14ac:dyDescent="0.15">
      <c r="A359" t="s">
        <v>2601</v>
      </c>
      <c r="B359" t="s">
        <v>2602</v>
      </c>
      <c r="D359" t="s">
        <v>991</v>
      </c>
      <c r="E359" t="s">
        <v>2603</v>
      </c>
      <c r="F359" t="s">
        <v>793</v>
      </c>
      <c r="G359" t="s">
        <v>2604</v>
      </c>
      <c r="H359" t="s">
        <v>791</v>
      </c>
      <c r="I359" t="s">
        <v>996</v>
      </c>
      <c r="J359" t="s">
        <v>997</v>
      </c>
      <c r="K359" t="s">
        <v>998</v>
      </c>
    </row>
    <row r="360" spans="1:11" x14ac:dyDescent="0.15">
      <c r="A360" t="s">
        <v>2605</v>
      </c>
      <c r="B360" t="s">
        <v>2606</v>
      </c>
      <c r="D360" t="s">
        <v>991</v>
      </c>
      <c r="E360" t="s">
        <v>2607</v>
      </c>
      <c r="F360" t="s">
        <v>797</v>
      </c>
      <c r="G360" t="s">
        <v>2608</v>
      </c>
      <c r="H360" t="s">
        <v>795</v>
      </c>
      <c r="I360" t="s">
        <v>996</v>
      </c>
      <c r="J360" t="s">
        <v>997</v>
      </c>
      <c r="K360" t="s">
        <v>998</v>
      </c>
    </row>
    <row r="361" spans="1:11" x14ac:dyDescent="0.15">
      <c r="A361" t="s">
        <v>2609</v>
      </c>
      <c r="B361" t="s">
        <v>2610</v>
      </c>
      <c r="D361" t="s">
        <v>991</v>
      </c>
      <c r="E361" t="s">
        <v>2611</v>
      </c>
      <c r="F361" t="s">
        <v>2612</v>
      </c>
      <c r="G361" t="s">
        <v>2613</v>
      </c>
      <c r="H361" t="s">
        <v>2614</v>
      </c>
      <c r="I361" t="s">
        <v>996</v>
      </c>
      <c r="J361" t="s">
        <v>997</v>
      </c>
      <c r="K361" t="s">
        <v>998</v>
      </c>
    </row>
    <row r="362" spans="1:11" x14ac:dyDescent="0.15">
      <c r="A362" t="s">
        <v>2615</v>
      </c>
      <c r="B362" t="s">
        <v>2616</v>
      </c>
      <c r="D362" t="s">
        <v>991</v>
      </c>
      <c r="E362" t="s">
        <v>2617</v>
      </c>
      <c r="F362" t="s">
        <v>2618</v>
      </c>
      <c r="G362" t="s">
        <v>2619</v>
      </c>
      <c r="H362" t="s">
        <v>2620</v>
      </c>
      <c r="I362" t="s">
        <v>996</v>
      </c>
      <c r="J362" t="s">
        <v>997</v>
      </c>
      <c r="K362" t="s">
        <v>998</v>
      </c>
    </row>
    <row r="363" spans="1:11" x14ac:dyDescent="0.15">
      <c r="A363" t="s">
        <v>2621</v>
      </c>
      <c r="B363" t="s">
        <v>2622</v>
      </c>
      <c r="D363" t="s">
        <v>991</v>
      </c>
      <c r="E363" t="s">
        <v>2623</v>
      </c>
      <c r="F363" t="s">
        <v>2624</v>
      </c>
      <c r="G363" t="s">
        <v>2625</v>
      </c>
      <c r="H363" t="s">
        <v>2626</v>
      </c>
      <c r="I363" t="s">
        <v>996</v>
      </c>
      <c r="J363" t="s">
        <v>997</v>
      </c>
      <c r="K363" t="s">
        <v>998</v>
      </c>
    </row>
    <row r="364" spans="1:11" x14ac:dyDescent="0.15">
      <c r="A364" t="s">
        <v>2627</v>
      </c>
      <c r="B364" t="s">
        <v>2628</v>
      </c>
      <c r="D364" t="s">
        <v>991</v>
      </c>
      <c r="E364" t="s">
        <v>2629</v>
      </c>
      <c r="F364" t="s">
        <v>542</v>
      </c>
      <c r="G364" t="s">
        <v>2630</v>
      </c>
      <c r="H364" t="s">
        <v>540</v>
      </c>
      <c r="I364" t="s">
        <v>996</v>
      </c>
      <c r="J364" t="s">
        <v>997</v>
      </c>
      <c r="K364" t="s">
        <v>998</v>
      </c>
    </row>
    <row r="365" spans="1:11" x14ac:dyDescent="0.15">
      <c r="A365" t="s">
        <v>2627</v>
      </c>
      <c r="B365" t="s">
        <v>2628</v>
      </c>
      <c r="D365" t="s">
        <v>991</v>
      </c>
      <c r="E365" t="s">
        <v>2631</v>
      </c>
      <c r="F365" t="s">
        <v>2632</v>
      </c>
      <c r="G365" t="s">
        <v>2633</v>
      </c>
      <c r="H365" t="s">
        <v>2634</v>
      </c>
      <c r="I365" t="s">
        <v>996</v>
      </c>
      <c r="J365" t="s">
        <v>997</v>
      </c>
      <c r="K365" t="s">
        <v>998</v>
      </c>
    </row>
    <row r="366" spans="1:11" x14ac:dyDescent="0.15">
      <c r="A366" t="s">
        <v>2635</v>
      </c>
      <c r="B366" t="s">
        <v>2636</v>
      </c>
      <c r="D366" t="s">
        <v>991</v>
      </c>
      <c r="E366" t="s">
        <v>2637</v>
      </c>
      <c r="F366" t="s">
        <v>2638</v>
      </c>
      <c r="G366" t="s">
        <v>2639</v>
      </c>
      <c r="H366" t="s">
        <v>2640</v>
      </c>
      <c r="I366" t="s">
        <v>996</v>
      </c>
      <c r="J366" t="s">
        <v>997</v>
      </c>
      <c r="K366" t="s">
        <v>998</v>
      </c>
    </row>
    <row r="367" spans="1:11" x14ac:dyDescent="0.15">
      <c r="A367" t="s">
        <v>2635</v>
      </c>
      <c r="B367" t="s">
        <v>2636</v>
      </c>
      <c r="D367" t="s">
        <v>991</v>
      </c>
      <c r="E367" t="s">
        <v>2641</v>
      </c>
      <c r="F367" t="s">
        <v>814</v>
      </c>
      <c r="G367" t="s">
        <v>2642</v>
      </c>
      <c r="H367" t="s">
        <v>812</v>
      </c>
      <c r="I367" t="s">
        <v>996</v>
      </c>
      <c r="J367" t="s">
        <v>997</v>
      </c>
      <c r="K367" t="s">
        <v>998</v>
      </c>
    </row>
    <row r="368" spans="1:11" x14ac:dyDescent="0.15">
      <c r="A368" t="s">
        <v>2643</v>
      </c>
      <c r="B368" t="s">
        <v>2644</v>
      </c>
      <c r="D368" t="s">
        <v>991</v>
      </c>
      <c r="E368" t="s">
        <v>2645</v>
      </c>
      <c r="F368" t="s">
        <v>2646</v>
      </c>
      <c r="G368" t="s">
        <v>2647</v>
      </c>
      <c r="H368" t="s">
        <v>2648</v>
      </c>
      <c r="I368" t="s">
        <v>996</v>
      </c>
      <c r="J368" t="s">
        <v>997</v>
      </c>
      <c r="K368" t="s">
        <v>998</v>
      </c>
    </row>
    <row r="369" spans="1:11" x14ac:dyDescent="0.15">
      <c r="A369" t="s">
        <v>2649</v>
      </c>
      <c r="B369" t="s">
        <v>2650</v>
      </c>
      <c r="D369" t="s">
        <v>991</v>
      </c>
      <c r="E369" t="s">
        <v>2651</v>
      </c>
      <c r="F369" t="s">
        <v>537</v>
      </c>
      <c r="G369" t="s">
        <v>2652</v>
      </c>
      <c r="H369" t="s">
        <v>536</v>
      </c>
      <c r="I369" t="s">
        <v>996</v>
      </c>
      <c r="J369" t="s">
        <v>997</v>
      </c>
      <c r="K369" t="s">
        <v>998</v>
      </c>
    </row>
    <row r="370" spans="1:11" x14ac:dyDescent="0.15">
      <c r="A370" t="s">
        <v>2653</v>
      </c>
      <c r="B370" t="s">
        <v>2654</v>
      </c>
      <c r="D370" t="s">
        <v>991</v>
      </c>
      <c r="E370" t="s">
        <v>2655</v>
      </c>
      <c r="F370" t="s">
        <v>2656</v>
      </c>
      <c r="G370" t="s">
        <v>2657</v>
      </c>
      <c r="H370" t="s">
        <v>2658</v>
      </c>
      <c r="I370" t="s">
        <v>996</v>
      </c>
      <c r="J370" t="s">
        <v>997</v>
      </c>
      <c r="K370" t="s">
        <v>998</v>
      </c>
    </row>
    <row r="371" spans="1:11" x14ac:dyDescent="0.15">
      <c r="A371" t="s">
        <v>2653</v>
      </c>
      <c r="B371" t="s">
        <v>2654</v>
      </c>
      <c r="D371" t="s">
        <v>991</v>
      </c>
      <c r="E371" t="s">
        <v>2659</v>
      </c>
      <c r="F371" t="s">
        <v>2660</v>
      </c>
      <c r="G371" t="s">
        <v>2661</v>
      </c>
      <c r="H371" t="s">
        <v>2662</v>
      </c>
      <c r="I371" t="s">
        <v>996</v>
      </c>
      <c r="J371" t="s">
        <v>997</v>
      </c>
      <c r="K371" t="s">
        <v>998</v>
      </c>
    </row>
    <row r="372" spans="1:11" x14ac:dyDescent="0.15">
      <c r="A372" t="s">
        <v>2663</v>
      </c>
      <c r="B372" t="s">
        <v>2664</v>
      </c>
      <c r="D372" t="s">
        <v>991</v>
      </c>
      <c r="E372" t="s">
        <v>2665</v>
      </c>
      <c r="F372" t="s">
        <v>2666</v>
      </c>
      <c r="G372" t="s">
        <v>2667</v>
      </c>
      <c r="H372" t="s">
        <v>2668</v>
      </c>
      <c r="I372" t="s">
        <v>996</v>
      </c>
      <c r="J372" t="s">
        <v>997</v>
      </c>
      <c r="K372" t="s">
        <v>998</v>
      </c>
    </row>
    <row r="373" spans="1:11" x14ac:dyDescent="0.15">
      <c r="A373" t="s">
        <v>2663</v>
      </c>
      <c r="B373" t="s">
        <v>2664</v>
      </c>
      <c r="D373" t="s">
        <v>991</v>
      </c>
      <c r="E373" t="s">
        <v>2669</v>
      </c>
      <c r="F373" t="s">
        <v>2664</v>
      </c>
      <c r="G373" t="s">
        <v>2670</v>
      </c>
      <c r="H373" t="s">
        <v>821</v>
      </c>
      <c r="I373" t="s">
        <v>996</v>
      </c>
      <c r="J373" t="s">
        <v>997</v>
      </c>
      <c r="K373" t="s">
        <v>998</v>
      </c>
    </row>
    <row r="374" spans="1:11" x14ac:dyDescent="0.15">
      <c r="A374" t="s">
        <v>2671</v>
      </c>
      <c r="B374" t="s">
        <v>2672</v>
      </c>
      <c r="D374" t="s">
        <v>991</v>
      </c>
      <c r="E374" t="s">
        <v>2673</v>
      </c>
      <c r="F374" t="s">
        <v>2674</v>
      </c>
      <c r="G374" t="s">
        <v>2675</v>
      </c>
      <c r="H374" t="s">
        <v>2676</v>
      </c>
      <c r="I374" t="s">
        <v>996</v>
      </c>
      <c r="J374" t="s">
        <v>997</v>
      </c>
      <c r="K374" t="s">
        <v>998</v>
      </c>
    </row>
    <row r="375" spans="1:11" x14ac:dyDescent="0.15">
      <c r="A375" t="s">
        <v>2677</v>
      </c>
      <c r="B375" t="s">
        <v>2678</v>
      </c>
      <c r="D375" t="s">
        <v>991</v>
      </c>
      <c r="E375" t="s">
        <v>2679</v>
      </c>
      <c r="F375" t="s">
        <v>805</v>
      </c>
      <c r="G375" t="s">
        <v>2680</v>
      </c>
      <c r="H375" t="s">
        <v>803</v>
      </c>
      <c r="I375" t="s">
        <v>996</v>
      </c>
      <c r="J375" t="s">
        <v>997</v>
      </c>
      <c r="K375" t="s">
        <v>998</v>
      </c>
    </row>
    <row r="376" spans="1:11" x14ac:dyDescent="0.15">
      <c r="A376" t="s">
        <v>2677</v>
      </c>
      <c r="B376" t="s">
        <v>2678</v>
      </c>
      <c r="D376" t="s">
        <v>991</v>
      </c>
      <c r="E376" t="s">
        <v>2681</v>
      </c>
      <c r="F376" t="s">
        <v>809</v>
      </c>
      <c r="G376" t="s">
        <v>2682</v>
      </c>
      <c r="H376" t="s">
        <v>807</v>
      </c>
      <c r="I376" t="s">
        <v>996</v>
      </c>
      <c r="J376" t="s">
        <v>997</v>
      </c>
      <c r="K376" t="s">
        <v>998</v>
      </c>
    </row>
    <row r="377" spans="1:11" x14ac:dyDescent="0.15">
      <c r="A377" t="s">
        <v>2677</v>
      </c>
      <c r="B377" t="s">
        <v>2678</v>
      </c>
      <c r="D377" t="s">
        <v>991</v>
      </c>
      <c r="E377" t="s">
        <v>2683</v>
      </c>
      <c r="F377" t="s">
        <v>801</v>
      </c>
      <c r="G377" t="s">
        <v>2684</v>
      </c>
      <c r="H377" t="s">
        <v>800</v>
      </c>
      <c r="I377" t="s">
        <v>996</v>
      </c>
      <c r="J377" t="s">
        <v>997</v>
      </c>
      <c r="K377" t="s">
        <v>998</v>
      </c>
    </row>
    <row r="378" spans="1:11" x14ac:dyDescent="0.15">
      <c r="A378" t="s">
        <v>2685</v>
      </c>
      <c r="B378" t="s">
        <v>2686</v>
      </c>
      <c r="D378" t="s">
        <v>991</v>
      </c>
      <c r="E378" t="s">
        <v>2687</v>
      </c>
      <c r="F378" t="s">
        <v>2688</v>
      </c>
      <c r="G378" t="s">
        <v>2689</v>
      </c>
      <c r="H378" t="s">
        <v>2690</v>
      </c>
      <c r="I378" t="s">
        <v>996</v>
      </c>
      <c r="J378" t="s">
        <v>997</v>
      </c>
      <c r="K378" t="s">
        <v>998</v>
      </c>
    </row>
    <row r="379" spans="1:11" x14ac:dyDescent="0.15">
      <c r="A379" t="s">
        <v>2685</v>
      </c>
      <c r="B379" t="s">
        <v>2686</v>
      </c>
      <c r="D379" t="s">
        <v>991</v>
      </c>
      <c r="E379" t="s">
        <v>2691</v>
      </c>
      <c r="F379" t="s">
        <v>2692</v>
      </c>
      <c r="G379" t="s">
        <v>2693</v>
      </c>
      <c r="H379" t="s">
        <v>2694</v>
      </c>
      <c r="I379" t="s">
        <v>996</v>
      </c>
      <c r="J379" t="s">
        <v>997</v>
      </c>
      <c r="K379" t="s">
        <v>998</v>
      </c>
    </row>
    <row r="380" spans="1:11" x14ac:dyDescent="0.15">
      <c r="A380" t="s">
        <v>2685</v>
      </c>
      <c r="B380" t="s">
        <v>2686</v>
      </c>
      <c r="D380" t="s">
        <v>991</v>
      </c>
      <c r="E380" t="s">
        <v>2695</v>
      </c>
      <c r="F380" t="s">
        <v>2696</v>
      </c>
      <c r="G380" t="s">
        <v>2697</v>
      </c>
      <c r="H380" t="s">
        <v>2698</v>
      </c>
      <c r="I380" t="s">
        <v>996</v>
      </c>
      <c r="J380" t="s">
        <v>997</v>
      </c>
      <c r="K380" t="s">
        <v>998</v>
      </c>
    </row>
    <row r="381" spans="1:11" x14ac:dyDescent="0.15">
      <c r="A381" t="s">
        <v>2685</v>
      </c>
      <c r="B381" t="s">
        <v>2686</v>
      </c>
      <c r="D381" t="s">
        <v>991</v>
      </c>
      <c r="E381" t="s">
        <v>2699</v>
      </c>
      <c r="F381" t="s">
        <v>2700</v>
      </c>
      <c r="G381" t="s">
        <v>2701</v>
      </c>
      <c r="H381" t="s">
        <v>2702</v>
      </c>
      <c r="I381" t="s">
        <v>996</v>
      </c>
      <c r="J381" t="s">
        <v>997</v>
      </c>
      <c r="K381" t="s">
        <v>998</v>
      </c>
    </row>
    <row r="382" spans="1:11" x14ac:dyDescent="0.15">
      <c r="A382" t="s">
        <v>2685</v>
      </c>
      <c r="B382" t="s">
        <v>2686</v>
      </c>
      <c r="D382" t="s">
        <v>991</v>
      </c>
      <c r="E382" t="s">
        <v>2703</v>
      </c>
      <c r="F382" t="s">
        <v>2704</v>
      </c>
      <c r="G382" t="s">
        <v>2705</v>
      </c>
      <c r="H382" t="s">
        <v>2706</v>
      </c>
      <c r="I382" t="s">
        <v>996</v>
      </c>
      <c r="J382" t="s">
        <v>997</v>
      </c>
      <c r="K382" t="s">
        <v>998</v>
      </c>
    </row>
    <row r="383" spans="1:11" x14ac:dyDescent="0.15">
      <c r="A383" t="s">
        <v>2707</v>
      </c>
      <c r="B383" t="s">
        <v>2708</v>
      </c>
      <c r="D383" t="s">
        <v>991</v>
      </c>
      <c r="E383" t="s">
        <v>2709</v>
      </c>
      <c r="F383" t="s">
        <v>2710</v>
      </c>
      <c r="G383" t="s">
        <v>2711</v>
      </c>
      <c r="H383" t="s">
        <v>2712</v>
      </c>
      <c r="I383" t="s">
        <v>996</v>
      </c>
      <c r="J383" t="s">
        <v>997</v>
      </c>
      <c r="K383" t="s">
        <v>998</v>
      </c>
    </row>
    <row r="384" spans="1:11" x14ac:dyDescent="0.15">
      <c r="A384" t="s">
        <v>2713</v>
      </c>
      <c r="B384" t="s">
        <v>2714</v>
      </c>
      <c r="D384" t="s">
        <v>991</v>
      </c>
      <c r="E384" t="s">
        <v>2715</v>
      </c>
      <c r="F384" t="s">
        <v>2716</v>
      </c>
      <c r="G384" t="s">
        <v>2717</v>
      </c>
      <c r="H384" t="s">
        <v>2718</v>
      </c>
      <c r="I384" t="s">
        <v>996</v>
      </c>
      <c r="J384" t="s">
        <v>997</v>
      </c>
      <c r="K384" t="s">
        <v>998</v>
      </c>
    </row>
    <row r="385" spans="1:11" x14ac:dyDescent="0.15">
      <c r="A385" t="s">
        <v>2719</v>
      </c>
      <c r="B385" t="s">
        <v>2720</v>
      </c>
      <c r="D385" t="s">
        <v>991</v>
      </c>
      <c r="E385" t="s">
        <v>2721</v>
      </c>
      <c r="F385" t="s">
        <v>2722</v>
      </c>
      <c r="G385" t="s">
        <v>2723</v>
      </c>
      <c r="H385" t="s">
        <v>2724</v>
      </c>
      <c r="I385" t="s">
        <v>996</v>
      </c>
      <c r="J385" t="s">
        <v>997</v>
      </c>
      <c r="K385" t="s">
        <v>998</v>
      </c>
    </row>
    <row r="386" spans="1:11" x14ac:dyDescent="0.15">
      <c r="A386" t="s">
        <v>2725</v>
      </c>
      <c r="B386" t="s">
        <v>2726</v>
      </c>
      <c r="D386" t="s">
        <v>991</v>
      </c>
      <c r="E386" t="s">
        <v>2727</v>
      </c>
      <c r="F386" t="s">
        <v>2728</v>
      </c>
      <c r="G386" t="s">
        <v>2729</v>
      </c>
      <c r="H386" t="s">
        <v>2730</v>
      </c>
      <c r="I386" t="s">
        <v>996</v>
      </c>
      <c r="J386" t="s">
        <v>997</v>
      </c>
      <c r="K386" t="s">
        <v>998</v>
      </c>
    </row>
    <row r="387" spans="1:11" x14ac:dyDescent="0.15">
      <c r="A387" t="s">
        <v>2731</v>
      </c>
      <c r="B387" t="s">
        <v>838</v>
      </c>
      <c r="D387" t="s">
        <v>991</v>
      </c>
      <c r="E387" t="s">
        <v>2732</v>
      </c>
      <c r="F387" t="s">
        <v>2733</v>
      </c>
      <c r="G387" t="s">
        <v>2734</v>
      </c>
      <c r="H387" t="s">
        <v>2735</v>
      </c>
      <c r="I387" t="s">
        <v>996</v>
      </c>
      <c r="J387" t="s">
        <v>997</v>
      </c>
      <c r="K387" t="s">
        <v>998</v>
      </c>
    </row>
    <row r="388" spans="1:11" x14ac:dyDescent="0.15">
      <c r="A388" t="s">
        <v>2731</v>
      </c>
      <c r="B388" t="s">
        <v>838</v>
      </c>
      <c r="D388" t="s">
        <v>991</v>
      </c>
      <c r="E388" t="s">
        <v>2736</v>
      </c>
      <c r="F388" t="s">
        <v>838</v>
      </c>
      <c r="G388" t="s">
        <v>2737</v>
      </c>
      <c r="H388" t="s">
        <v>836</v>
      </c>
      <c r="I388" t="s">
        <v>996</v>
      </c>
      <c r="J388" t="s">
        <v>997</v>
      </c>
      <c r="K388" t="s">
        <v>998</v>
      </c>
    </row>
    <row r="389" spans="1:11" x14ac:dyDescent="0.15">
      <c r="A389" t="s">
        <v>2738</v>
      </c>
      <c r="B389" t="s">
        <v>2739</v>
      </c>
      <c r="D389" t="s">
        <v>991</v>
      </c>
      <c r="E389" t="s">
        <v>2740</v>
      </c>
      <c r="F389" t="s">
        <v>2741</v>
      </c>
      <c r="G389" t="s">
        <v>2742</v>
      </c>
      <c r="H389" t="s">
        <v>2743</v>
      </c>
      <c r="I389" t="s">
        <v>996</v>
      </c>
      <c r="J389" t="s">
        <v>997</v>
      </c>
      <c r="K389" t="s">
        <v>998</v>
      </c>
    </row>
    <row r="390" spans="1:11" x14ac:dyDescent="0.15">
      <c r="A390" t="s">
        <v>2744</v>
      </c>
      <c r="B390" t="s">
        <v>2745</v>
      </c>
      <c r="D390" t="s">
        <v>991</v>
      </c>
      <c r="E390" t="s">
        <v>2746</v>
      </c>
      <c r="F390" t="s">
        <v>2747</v>
      </c>
      <c r="G390" t="s">
        <v>2748</v>
      </c>
      <c r="H390" t="s">
        <v>2749</v>
      </c>
      <c r="I390" t="s">
        <v>996</v>
      </c>
      <c r="J390" t="s">
        <v>997</v>
      </c>
      <c r="K390" t="s">
        <v>998</v>
      </c>
    </row>
    <row r="391" spans="1:11" x14ac:dyDescent="0.15">
      <c r="A391" t="s">
        <v>2750</v>
      </c>
      <c r="B391" t="s">
        <v>2751</v>
      </c>
      <c r="D391" t="s">
        <v>991</v>
      </c>
      <c r="E391" t="s">
        <v>2752</v>
      </c>
      <c r="F391" t="s">
        <v>2753</v>
      </c>
      <c r="G391" t="s">
        <v>2754</v>
      </c>
      <c r="H391" t="s">
        <v>2755</v>
      </c>
      <c r="I391" t="s">
        <v>996</v>
      </c>
      <c r="J391" t="s">
        <v>997</v>
      </c>
      <c r="K391" t="s">
        <v>998</v>
      </c>
    </row>
    <row r="392" spans="1:11" x14ac:dyDescent="0.15">
      <c r="A392" t="s">
        <v>2750</v>
      </c>
      <c r="B392" t="s">
        <v>2751</v>
      </c>
      <c r="D392" t="s">
        <v>991</v>
      </c>
      <c r="E392" t="s">
        <v>2756</v>
      </c>
      <c r="F392" t="s">
        <v>603</v>
      </c>
      <c r="G392" t="s">
        <v>2757</v>
      </c>
      <c r="H392" t="s">
        <v>601</v>
      </c>
      <c r="I392" t="s">
        <v>996</v>
      </c>
      <c r="J392" t="s">
        <v>997</v>
      </c>
      <c r="K392" t="s">
        <v>998</v>
      </c>
    </row>
    <row r="393" spans="1:11" x14ac:dyDescent="0.15">
      <c r="A393" t="s">
        <v>2758</v>
      </c>
      <c r="B393" t="s">
        <v>2759</v>
      </c>
      <c r="D393" t="s">
        <v>991</v>
      </c>
      <c r="E393" t="s">
        <v>2760</v>
      </c>
      <c r="F393" t="s">
        <v>2761</v>
      </c>
      <c r="G393" t="s">
        <v>2762</v>
      </c>
      <c r="H393" t="s">
        <v>2763</v>
      </c>
      <c r="I393" t="s">
        <v>996</v>
      </c>
      <c r="J393" t="s">
        <v>997</v>
      </c>
      <c r="K393" t="s">
        <v>998</v>
      </c>
    </row>
    <row r="394" spans="1:11" x14ac:dyDescent="0.15">
      <c r="A394" t="s">
        <v>2764</v>
      </c>
      <c r="B394" t="s">
        <v>2765</v>
      </c>
      <c r="D394" t="s">
        <v>991</v>
      </c>
      <c r="E394" t="s">
        <v>2766</v>
      </c>
      <c r="F394" t="s">
        <v>782</v>
      </c>
      <c r="G394" t="s">
        <v>2767</v>
      </c>
      <c r="H394" t="s">
        <v>780</v>
      </c>
      <c r="I394" t="s">
        <v>996</v>
      </c>
      <c r="J394" t="s">
        <v>997</v>
      </c>
      <c r="K394" t="s">
        <v>998</v>
      </c>
    </row>
    <row r="395" spans="1:11" x14ac:dyDescent="0.15">
      <c r="A395" t="s">
        <v>2768</v>
      </c>
      <c r="B395" t="s">
        <v>2769</v>
      </c>
      <c r="D395" t="s">
        <v>991</v>
      </c>
      <c r="E395" t="s">
        <v>2770</v>
      </c>
      <c r="F395" t="s">
        <v>2771</v>
      </c>
      <c r="G395" t="s">
        <v>2772</v>
      </c>
      <c r="H395" t="s">
        <v>2773</v>
      </c>
      <c r="I395" t="s">
        <v>996</v>
      </c>
      <c r="J395" t="s">
        <v>997</v>
      </c>
      <c r="K395" t="s">
        <v>998</v>
      </c>
    </row>
    <row r="396" spans="1:11" x14ac:dyDescent="0.15">
      <c r="A396" t="s">
        <v>2774</v>
      </c>
      <c r="B396" t="s">
        <v>2775</v>
      </c>
      <c r="D396" t="s">
        <v>991</v>
      </c>
      <c r="E396" t="s">
        <v>2776</v>
      </c>
      <c r="F396" t="s">
        <v>2777</v>
      </c>
      <c r="G396" t="s">
        <v>2778</v>
      </c>
      <c r="H396" t="s">
        <v>2779</v>
      </c>
      <c r="I396" t="s">
        <v>996</v>
      </c>
      <c r="J396" t="s">
        <v>997</v>
      </c>
      <c r="K396" t="s">
        <v>998</v>
      </c>
    </row>
    <row r="397" spans="1:11" x14ac:dyDescent="0.15">
      <c r="A397" t="s">
        <v>2780</v>
      </c>
      <c r="B397" t="s">
        <v>2781</v>
      </c>
      <c r="D397" t="s">
        <v>991</v>
      </c>
      <c r="E397" t="s">
        <v>2782</v>
      </c>
      <c r="F397" t="s">
        <v>2783</v>
      </c>
      <c r="G397" t="s">
        <v>2784</v>
      </c>
      <c r="H397" t="s">
        <v>2785</v>
      </c>
      <c r="I397" t="s">
        <v>996</v>
      </c>
      <c r="J397" t="s">
        <v>997</v>
      </c>
      <c r="K397" t="s">
        <v>998</v>
      </c>
    </row>
    <row r="398" spans="1:11" x14ac:dyDescent="0.15">
      <c r="A398" t="s">
        <v>2786</v>
      </c>
      <c r="B398" t="s">
        <v>2787</v>
      </c>
      <c r="C398" t="s">
        <v>2788</v>
      </c>
      <c r="D398" t="s">
        <v>991</v>
      </c>
      <c r="E398" t="s">
        <v>2789</v>
      </c>
      <c r="F398" t="s">
        <v>2790</v>
      </c>
      <c r="G398" t="s">
        <v>2791</v>
      </c>
      <c r="H398" t="s">
        <v>2792</v>
      </c>
      <c r="I398" t="s">
        <v>996</v>
      </c>
      <c r="J398" t="s">
        <v>997</v>
      </c>
      <c r="K398" t="s">
        <v>998</v>
      </c>
    </row>
    <row r="399" spans="1:11" x14ac:dyDescent="0.15">
      <c r="A399" t="s">
        <v>2793</v>
      </c>
      <c r="B399" t="s">
        <v>2794</v>
      </c>
      <c r="C399" t="s">
        <v>2788</v>
      </c>
      <c r="D399" t="s">
        <v>991</v>
      </c>
      <c r="E399" t="s">
        <v>2795</v>
      </c>
      <c r="F399" t="s">
        <v>2796</v>
      </c>
      <c r="G399" t="s">
        <v>2797</v>
      </c>
      <c r="H399" t="s">
        <v>2798</v>
      </c>
      <c r="I399" t="s">
        <v>996</v>
      </c>
      <c r="J399" t="s">
        <v>997</v>
      </c>
      <c r="K399" t="s">
        <v>998</v>
      </c>
    </row>
    <row r="400" spans="1:11" x14ac:dyDescent="0.15">
      <c r="A400" t="s">
        <v>2799</v>
      </c>
      <c r="B400" t="s">
        <v>2800</v>
      </c>
      <c r="C400" t="s">
        <v>2788</v>
      </c>
      <c r="D400" t="s">
        <v>991</v>
      </c>
      <c r="E400" t="s">
        <v>2801</v>
      </c>
      <c r="F400" t="s">
        <v>2802</v>
      </c>
      <c r="G400" t="s">
        <v>2803</v>
      </c>
      <c r="H400" t="s">
        <v>2804</v>
      </c>
      <c r="I400" t="s">
        <v>996</v>
      </c>
      <c r="J400" t="s">
        <v>997</v>
      </c>
      <c r="K400" t="s">
        <v>998</v>
      </c>
    </row>
    <row r="401" spans="1:11" x14ac:dyDescent="0.15">
      <c r="A401" t="s">
        <v>2799</v>
      </c>
      <c r="B401" t="s">
        <v>2800</v>
      </c>
      <c r="C401" t="s">
        <v>2788</v>
      </c>
      <c r="D401" t="s">
        <v>991</v>
      </c>
      <c r="E401" t="s">
        <v>2805</v>
      </c>
      <c r="F401" t="s">
        <v>825</v>
      </c>
      <c r="G401" t="s">
        <v>2806</v>
      </c>
      <c r="H401" t="s">
        <v>824</v>
      </c>
      <c r="I401" t="s">
        <v>996</v>
      </c>
      <c r="J401" t="s">
        <v>997</v>
      </c>
      <c r="K401" t="s">
        <v>998</v>
      </c>
    </row>
    <row r="402" spans="1:11" x14ac:dyDescent="0.15">
      <c r="A402" t="s">
        <v>2807</v>
      </c>
      <c r="B402" t="s">
        <v>2808</v>
      </c>
      <c r="C402" t="s">
        <v>2788</v>
      </c>
      <c r="D402" t="s">
        <v>991</v>
      </c>
      <c r="E402" t="s">
        <v>2809</v>
      </c>
      <c r="F402" t="s">
        <v>2810</v>
      </c>
      <c r="G402" t="s">
        <v>2811</v>
      </c>
      <c r="H402" t="s">
        <v>2812</v>
      </c>
      <c r="I402" t="s">
        <v>996</v>
      </c>
      <c r="J402" t="s">
        <v>997</v>
      </c>
      <c r="K402" t="s">
        <v>998</v>
      </c>
    </row>
    <row r="403" spans="1:11" x14ac:dyDescent="0.15">
      <c r="A403" t="s">
        <v>2813</v>
      </c>
      <c r="B403" t="s">
        <v>2814</v>
      </c>
      <c r="C403" t="s">
        <v>2788</v>
      </c>
      <c r="D403" t="s">
        <v>991</v>
      </c>
      <c r="E403" t="s">
        <v>2815</v>
      </c>
      <c r="F403" t="s">
        <v>817</v>
      </c>
      <c r="G403" t="s">
        <v>2816</v>
      </c>
      <c r="H403" t="s">
        <v>816</v>
      </c>
      <c r="I403" t="s">
        <v>996</v>
      </c>
      <c r="J403" t="s">
        <v>997</v>
      </c>
      <c r="K403" t="s">
        <v>998</v>
      </c>
    </row>
    <row r="404" spans="1:11" x14ac:dyDescent="0.15">
      <c r="A404" t="s">
        <v>2817</v>
      </c>
      <c r="B404" t="s">
        <v>2818</v>
      </c>
      <c r="C404" t="s">
        <v>1793</v>
      </c>
      <c r="D404" t="s">
        <v>991</v>
      </c>
      <c r="E404" t="s">
        <v>2819</v>
      </c>
      <c r="F404" t="s">
        <v>2820</v>
      </c>
      <c r="G404" t="s">
        <v>2821</v>
      </c>
      <c r="H404" t="s">
        <v>2822</v>
      </c>
      <c r="I404" t="s">
        <v>996</v>
      </c>
      <c r="J404" t="s">
        <v>997</v>
      </c>
      <c r="K404" t="s">
        <v>998</v>
      </c>
    </row>
    <row r="405" spans="1:11" x14ac:dyDescent="0.15">
      <c r="A405" t="s">
        <v>2823</v>
      </c>
      <c r="B405" t="s">
        <v>2824</v>
      </c>
      <c r="C405" t="s">
        <v>2788</v>
      </c>
      <c r="D405" t="s">
        <v>991</v>
      </c>
      <c r="E405" t="s">
        <v>2825</v>
      </c>
      <c r="F405" t="s">
        <v>2826</v>
      </c>
      <c r="G405" t="s">
        <v>2827</v>
      </c>
      <c r="H405" t="s">
        <v>2828</v>
      </c>
      <c r="I405" t="s">
        <v>996</v>
      </c>
      <c r="J405" t="s">
        <v>997</v>
      </c>
      <c r="K405" t="s">
        <v>998</v>
      </c>
    </row>
    <row r="406" spans="1:11" x14ac:dyDescent="0.15">
      <c r="A406" t="s">
        <v>2829</v>
      </c>
      <c r="B406" t="s">
        <v>2830</v>
      </c>
      <c r="D406" t="s">
        <v>991</v>
      </c>
      <c r="E406" t="s">
        <v>2831</v>
      </c>
      <c r="F406" t="s">
        <v>2832</v>
      </c>
      <c r="G406" t="s">
        <v>2833</v>
      </c>
      <c r="H406" t="s">
        <v>2834</v>
      </c>
      <c r="I406" t="s">
        <v>996</v>
      </c>
      <c r="J406" t="s">
        <v>997</v>
      </c>
      <c r="K406" t="s">
        <v>998</v>
      </c>
    </row>
    <row r="407" spans="1:11" x14ac:dyDescent="0.15">
      <c r="A407" t="s">
        <v>2829</v>
      </c>
      <c r="B407" t="s">
        <v>2830</v>
      </c>
      <c r="D407" t="s">
        <v>991</v>
      </c>
      <c r="E407" t="s">
        <v>2835</v>
      </c>
      <c r="F407" t="s">
        <v>819</v>
      </c>
      <c r="G407" t="s">
        <v>2836</v>
      </c>
      <c r="H407" t="s">
        <v>818</v>
      </c>
      <c r="I407" t="s">
        <v>996</v>
      </c>
      <c r="J407" t="s">
        <v>997</v>
      </c>
      <c r="K407" t="s">
        <v>998</v>
      </c>
    </row>
    <row r="408" spans="1:11" x14ac:dyDescent="0.15">
      <c r="A408" t="s">
        <v>2837</v>
      </c>
      <c r="B408" t="s">
        <v>2838</v>
      </c>
      <c r="D408" t="s">
        <v>991</v>
      </c>
      <c r="E408" t="s">
        <v>2839</v>
      </c>
      <c r="F408" t="s">
        <v>841</v>
      </c>
      <c r="G408" t="s">
        <v>2840</v>
      </c>
      <c r="H408" t="s">
        <v>839</v>
      </c>
      <c r="I408" t="s">
        <v>996</v>
      </c>
      <c r="J408" t="s">
        <v>997</v>
      </c>
      <c r="K408" t="s">
        <v>998</v>
      </c>
    </row>
    <row r="409" spans="1:11" x14ac:dyDescent="0.15">
      <c r="A409" t="s">
        <v>2837</v>
      </c>
      <c r="B409" t="s">
        <v>2838</v>
      </c>
      <c r="D409" t="s">
        <v>991</v>
      </c>
      <c r="E409" t="s">
        <v>2841</v>
      </c>
      <c r="F409" t="s">
        <v>2842</v>
      </c>
      <c r="G409" t="s">
        <v>2843</v>
      </c>
      <c r="H409" t="s">
        <v>2844</v>
      </c>
      <c r="I409" t="s">
        <v>996</v>
      </c>
      <c r="J409" t="s">
        <v>997</v>
      </c>
      <c r="K409" t="s">
        <v>998</v>
      </c>
    </row>
    <row r="410" spans="1:11" x14ac:dyDescent="0.15">
      <c r="A410" t="s">
        <v>2845</v>
      </c>
      <c r="B410" t="s">
        <v>2846</v>
      </c>
      <c r="D410" t="s">
        <v>991</v>
      </c>
      <c r="E410" t="s">
        <v>2847</v>
      </c>
      <c r="F410" t="s">
        <v>2848</v>
      </c>
      <c r="G410" t="s">
        <v>2849</v>
      </c>
      <c r="H410" t="s">
        <v>2850</v>
      </c>
      <c r="I410" t="s">
        <v>996</v>
      </c>
      <c r="J410" t="s">
        <v>997</v>
      </c>
      <c r="K410" t="s">
        <v>998</v>
      </c>
    </row>
    <row r="411" spans="1:11" x14ac:dyDescent="0.15">
      <c r="A411" t="s">
        <v>2851</v>
      </c>
      <c r="B411" t="s">
        <v>2852</v>
      </c>
      <c r="C411" t="s">
        <v>1793</v>
      </c>
      <c r="D411" t="s">
        <v>991</v>
      </c>
      <c r="E411" t="s">
        <v>2853</v>
      </c>
      <c r="F411" t="s">
        <v>2854</v>
      </c>
      <c r="G411" t="s">
        <v>2855</v>
      </c>
      <c r="H411" t="s">
        <v>2856</v>
      </c>
      <c r="I411" t="s">
        <v>996</v>
      </c>
      <c r="J411" t="s">
        <v>997</v>
      </c>
      <c r="K411" t="s">
        <v>998</v>
      </c>
    </row>
    <row r="412" spans="1:11" x14ac:dyDescent="0.15">
      <c r="A412" t="s">
        <v>2851</v>
      </c>
      <c r="B412" t="s">
        <v>2852</v>
      </c>
      <c r="C412" t="s">
        <v>1793</v>
      </c>
      <c r="D412" t="s">
        <v>991</v>
      </c>
      <c r="E412" t="s">
        <v>2857</v>
      </c>
      <c r="F412" t="s">
        <v>2858</v>
      </c>
      <c r="G412" t="s">
        <v>2859</v>
      </c>
      <c r="H412" t="s">
        <v>2860</v>
      </c>
      <c r="I412" t="s">
        <v>996</v>
      </c>
      <c r="J412" t="s">
        <v>997</v>
      </c>
      <c r="K412" t="s">
        <v>998</v>
      </c>
    </row>
    <row r="413" spans="1:11" x14ac:dyDescent="0.15">
      <c r="A413" t="s">
        <v>2851</v>
      </c>
      <c r="B413" t="s">
        <v>2852</v>
      </c>
      <c r="C413" t="s">
        <v>1793</v>
      </c>
      <c r="D413" t="s">
        <v>991</v>
      </c>
      <c r="E413" t="s">
        <v>2861</v>
      </c>
      <c r="F413" t="s">
        <v>2862</v>
      </c>
      <c r="G413" t="s">
        <v>2863</v>
      </c>
      <c r="H413" t="s">
        <v>2864</v>
      </c>
      <c r="I413" t="s">
        <v>996</v>
      </c>
      <c r="J413" t="s">
        <v>997</v>
      </c>
      <c r="K413" t="s">
        <v>998</v>
      </c>
    </row>
    <row r="414" spans="1:11" x14ac:dyDescent="0.15">
      <c r="A414" t="s">
        <v>2851</v>
      </c>
      <c r="B414" t="s">
        <v>2852</v>
      </c>
      <c r="C414" t="s">
        <v>1793</v>
      </c>
      <c r="D414" t="s">
        <v>991</v>
      </c>
      <c r="E414" t="s">
        <v>2865</v>
      </c>
      <c r="F414" t="s">
        <v>2866</v>
      </c>
      <c r="G414" t="s">
        <v>2867</v>
      </c>
      <c r="H414" t="s">
        <v>2868</v>
      </c>
      <c r="I414" t="s">
        <v>996</v>
      </c>
      <c r="J414" t="s">
        <v>997</v>
      </c>
      <c r="K414" t="s">
        <v>998</v>
      </c>
    </row>
    <row r="415" spans="1:11" x14ac:dyDescent="0.15">
      <c r="A415" t="s">
        <v>2869</v>
      </c>
      <c r="B415" t="s">
        <v>2870</v>
      </c>
      <c r="D415" t="s">
        <v>991</v>
      </c>
      <c r="E415" t="s">
        <v>2871</v>
      </c>
      <c r="F415" t="s">
        <v>2872</v>
      </c>
      <c r="G415" t="s">
        <v>2873</v>
      </c>
      <c r="H415" t="s">
        <v>2874</v>
      </c>
      <c r="I415" t="s">
        <v>996</v>
      </c>
      <c r="J415" t="s">
        <v>997</v>
      </c>
      <c r="K415" t="s">
        <v>998</v>
      </c>
    </row>
    <row r="416" spans="1:11" x14ac:dyDescent="0.15">
      <c r="A416" t="s">
        <v>2875</v>
      </c>
      <c r="B416" t="s">
        <v>2876</v>
      </c>
      <c r="D416" t="s">
        <v>991</v>
      </c>
      <c r="E416" t="s">
        <v>2877</v>
      </c>
      <c r="F416" t="s">
        <v>2878</v>
      </c>
      <c r="G416" t="s">
        <v>2879</v>
      </c>
      <c r="H416" t="s">
        <v>2880</v>
      </c>
      <c r="I416" t="s">
        <v>996</v>
      </c>
      <c r="J416" t="s">
        <v>997</v>
      </c>
      <c r="K416" t="s">
        <v>998</v>
      </c>
    </row>
    <row r="417" spans="1:11" x14ac:dyDescent="0.15">
      <c r="A417" t="s">
        <v>2881</v>
      </c>
      <c r="B417" t="s">
        <v>2882</v>
      </c>
      <c r="D417" t="s">
        <v>991</v>
      </c>
      <c r="E417" t="s">
        <v>2883</v>
      </c>
      <c r="F417" t="s">
        <v>2884</v>
      </c>
      <c r="G417" t="s">
        <v>2885</v>
      </c>
      <c r="H417" t="s">
        <v>2886</v>
      </c>
      <c r="I417" t="s">
        <v>996</v>
      </c>
      <c r="J417" t="s">
        <v>997</v>
      </c>
      <c r="K417" t="s">
        <v>998</v>
      </c>
    </row>
    <row r="418" spans="1:11" x14ac:dyDescent="0.15">
      <c r="A418" t="s">
        <v>2881</v>
      </c>
      <c r="B418" t="s">
        <v>2882</v>
      </c>
      <c r="D418" t="s">
        <v>991</v>
      </c>
      <c r="E418" t="s">
        <v>2887</v>
      </c>
      <c r="F418" t="s">
        <v>2888</v>
      </c>
      <c r="G418" t="s">
        <v>2889</v>
      </c>
      <c r="H418" t="s">
        <v>2890</v>
      </c>
      <c r="I418" t="s">
        <v>996</v>
      </c>
      <c r="J418" t="s">
        <v>997</v>
      </c>
      <c r="K418" t="s">
        <v>998</v>
      </c>
    </row>
    <row r="419" spans="1:11" x14ac:dyDescent="0.15">
      <c r="A419" t="s">
        <v>2891</v>
      </c>
      <c r="B419" t="s">
        <v>2892</v>
      </c>
      <c r="D419" t="s">
        <v>991</v>
      </c>
      <c r="E419" t="s">
        <v>2893</v>
      </c>
      <c r="F419" t="s">
        <v>2894</v>
      </c>
      <c r="G419" t="s">
        <v>2895</v>
      </c>
      <c r="H419" t="s">
        <v>2896</v>
      </c>
      <c r="I419" t="s">
        <v>996</v>
      </c>
      <c r="J419" t="s">
        <v>997</v>
      </c>
      <c r="K419" t="s">
        <v>998</v>
      </c>
    </row>
    <row r="420" spans="1:11" x14ac:dyDescent="0.15">
      <c r="A420" t="s">
        <v>2891</v>
      </c>
      <c r="B420" t="s">
        <v>2892</v>
      </c>
      <c r="D420" t="s">
        <v>991</v>
      </c>
      <c r="E420" t="s">
        <v>2897</v>
      </c>
      <c r="F420" t="s">
        <v>2898</v>
      </c>
      <c r="G420" t="s">
        <v>2899</v>
      </c>
      <c r="H420" t="s">
        <v>2900</v>
      </c>
      <c r="I420" t="s">
        <v>996</v>
      </c>
      <c r="J420" t="s">
        <v>997</v>
      </c>
      <c r="K420" t="s">
        <v>998</v>
      </c>
    </row>
    <row r="421" spans="1:11" x14ac:dyDescent="0.15">
      <c r="A421" t="s">
        <v>2901</v>
      </c>
      <c r="B421" t="s">
        <v>2902</v>
      </c>
      <c r="D421" t="s">
        <v>991</v>
      </c>
      <c r="E421" t="s">
        <v>2903</v>
      </c>
      <c r="F421" t="s">
        <v>2904</v>
      </c>
      <c r="G421" t="s">
        <v>2905</v>
      </c>
      <c r="H421" t="s">
        <v>2906</v>
      </c>
      <c r="I421" t="s">
        <v>996</v>
      </c>
      <c r="J421" t="s">
        <v>997</v>
      </c>
      <c r="K421" t="s">
        <v>998</v>
      </c>
    </row>
    <row r="422" spans="1:11" x14ac:dyDescent="0.15">
      <c r="A422" t="s">
        <v>2907</v>
      </c>
      <c r="B422" t="s">
        <v>2908</v>
      </c>
      <c r="D422" t="s">
        <v>991</v>
      </c>
      <c r="E422" t="s">
        <v>2909</v>
      </c>
      <c r="F422" t="s">
        <v>2910</v>
      </c>
      <c r="G422" t="s">
        <v>2911</v>
      </c>
      <c r="H422" t="s">
        <v>2912</v>
      </c>
      <c r="I422" t="s">
        <v>996</v>
      </c>
      <c r="J422" t="s">
        <v>997</v>
      </c>
      <c r="K422" t="s">
        <v>998</v>
      </c>
    </row>
    <row r="423" spans="1:11" x14ac:dyDescent="0.15">
      <c r="A423" t="s">
        <v>2913</v>
      </c>
      <c r="B423" t="s">
        <v>2914</v>
      </c>
      <c r="D423" t="s">
        <v>991</v>
      </c>
      <c r="E423" t="s">
        <v>2915</v>
      </c>
      <c r="F423" t="s">
        <v>2916</v>
      </c>
      <c r="G423" t="s">
        <v>2917</v>
      </c>
      <c r="H423" t="s">
        <v>2918</v>
      </c>
      <c r="I423" t="s">
        <v>996</v>
      </c>
      <c r="J423" t="s">
        <v>997</v>
      </c>
      <c r="K423" t="s">
        <v>998</v>
      </c>
    </row>
    <row r="424" spans="1:11" x14ac:dyDescent="0.15">
      <c r="A424" t="s">
        <v>2913</v>
      </c>
      <c r="B424" t="s">
        <v>2914</v>
      </c>
      <c r="D424" t="s">
        <v>991</v>
      </c>
      <c r="E424" t="s">
        <v>2919</v>
      </c>
      <c r="F424" t="s">
        <v>2920</v>
      </c>
      <c r="G424" t="s">
        <v>2921</v>
      </c>
      <c r="H424" t="s">
        <v>2922</v>
      </c>
      <c r="I424" t="s">
        <v>996</v>
      </c>
      <c r="J424" t="s">
        <v>997</v>
      </c>
      <c r="K424" t="s">
        <v>998</v>
      </c>
    </row>
    <row r="425" spans="1:11" x14ac:dyDescent="0.15">
      <c r="A425" t="s">
        <v>2923</v>
      </c>
      <c r="B425" t="s">
        <v>2924</v>
      </c>
      <c r="D425" t="s">
        <v>991</v>
      </c>
      <c r="E425" t="s">
        <v>2925</v>
      </c>
      <c r="F425" t="s">
        <v>2926</v>
      </c>
      <c r="G425" t="s">
        <v>2927</v>
      </c>
      <c r="H425" t="s">
        <v>2928</v>
      </c>
      <c r="I425" t="s">
        <v>996</v>
      </c>
      <c r="J425" t="s">
        <v>997</v>
      </c>
      <c r="K425" t="s">
        <v>998</v>
      </c>
    </row>
    <row r="426" spans="1:11" x14ac:dyDescent="0.15">
      <c r="A426" t="s">
        <v>2923</v>
      </c>
      <c r="B426" t="s">
        <v>2924</v>
      </c>
      <c r="D426" t="s">
        <v>991</v>
      </c>
      <c r="E426" t="s">
        <v>2929</v>
      </c>
      <c r="F426" t="s">
        <v>834</v>
      </c>
      <c r="G426" t="s">
        <v>2930</v>
      </c>
      <c r="H426" t="s">
        <v>832</v>
      </c>
      <c r="I426" t="s">
        <v>996</v>
      </c>
      <c r="J426" t="s">
        <v>997</v>
      </c>
      <c r="K426" t="s">
        <v>998</v>
      </c>
    </row>
    <row r="427" spans="1:11" x14ac:dyDescent="0.15">
      <c r="A427" t="s">
        <v>2931</v>
      </c>
      <c r="B427" t="s">
        <v>2932</v>
      </c>
      <c r="D427" t="s">
        <v>991</v>
      </c>
      <c r="E427" t="s">
        <v>2933</v>
      </c>
      <c r="F427" t="s">
        <v>777</v>
      </c>
      <c r="G427" t="s">
        <v>2934</v>
      </c>
      <c r="H427" t="s">
        <v>775</v>
      </c>
      <c r="I427" t="s">
        <v>996</v>
      </c>
      <c r="J427" t="s">
        <v>997</v>
      </c>
      <c r="K427" t="s">
        <v>998</v>
      </c>
    </row>
    <row r="428" spans="1:11" x14ac:dyDescent="0.15">
      <c r="A428" t="s">
        <v>2935</v>
      </c>
      <c r="B428" t="s">
        <v>2936</v>
      </c>
      <c r="D428" t="s">
        <v>991</v>
      </c>
      <c r="E428" t="s">
        <v>2937</v>
      </c>
      <c r="F428" t="s">
        <v>2938</v>
      </c>
      <c r="G428" t="s">
        <v>2939</v>
      </c>
      <c r="H428" t="s">
        <v>2940</v>
      </c>
      <c r="I428" t="s">
        <v>996</v>
      </c>
      <c r="J428" t="s">
        <v>997</v>
      </c>
      <c r="K428" t="s">
        <v>998</v>
      </c>
    </row>
    <row r="429" spans="1:11" x14ac:dyDescent="0.15">
      <c r="A429" t="s">
        <v>2941</v>
      </c>
      <c r="B429" t="s">
        <v>2942</v>
      </c>
      <c r="D429" t="s">
        <v>991</v>
      </c>
      <c r="E429" t="s">
        <v>2943</v>
      </c>
      <c r="F429" t="s">
        <v>2944</v>
      </c>
      <c r="G429" t="s">
        <v>2945</v>
      </c>
      <c r="H429" t="s">
        <v>2946</v>
      </c>
      <c r="I429" t="s">
        <v>996</v>
      </c>
      <c r="J429" t="s">
        <v>997</v>
      </c>
      <c r="K429" t="s">
        <v>998</v>
      </c>
    </row>
    <row r="430" spans="1:11" x14ac:dyDescent="0.15">
      <c r="A430" t="s">
        <v>2947</v>
      </c>
      <c r="B430" t="s">
        <v>2948</v>
      </c>
      <c r="D430" t="s">
        <v>991</v>
      </c>
      <c r="E430" t="s">
        <v>2949</v>
      </c>
      <c r="F430" t="s">
        <v>848</v>
      </c>
      <c r="G430" t="s">
        <v>2950</v>
      </c>
      <c r="H430" t="s">
        <v>846</v>
      </c>
      <c r="I430" t="s">
        <v>996</v>
      </c>
      <c r="J430" t="s">
        <v>997</v>
      </c>
      <c r="K430" t="s">
        <v>998</v>
      </c>
    </row>
    <row r="431" spans="1:11" x14ac:dyDescent="0.15">
      <c r="A431" t="s">
        <v>2947</v>
      </c>
      <c r="B431" t="s">
        <v>2948</v>
      </c>
      <c r="D431" t="s">
        <v>991</v>
      </c>
      <c r="E431" t="s">
        <v>2951</v>
      </c>
      <c r="F431" t="s">
        <v>851</v>
      </c>
      <c r="G431" t="s">
        <v>2952</v>
      </c>
      <c r="H431" t="s">
        <v>849</v>
      </c>
      <c r="I431" t="s">
        <v>996</v>
      </c>
      <c r="J431" t="s">
        <v>997</v>
      </c>
      <c r="K431" t="s">
        <v>998</v>
      </c>
    </row>
    <row r="432" spans="1:11" x14ac:dyDescent="0.15">
      <c r="A432" t="s">
        <v>2953</v>
      </c>
      <c r="B432" t="s">
        <v>2954</v>
      </c>
      <c r="D432" t="s">
        <v>991</v>
      </c>
      <c r="E432" t="s">
        <v>2955</v>
      </c>
      <c r="F432" t="s">
        <v>2956</v>
      </c>
      <c r="G432" t="s">
        <v>2957</v>
      </c>
      <c r="H432" t="s">
        <v>2958</v>
      </c>
      <c r="I432" t="s">
        <v>996</v>
      </c>
      <c r="J432" t="s">
        <v>997</v>
      </c>
      <c r="K432" t="s">
        <v>998</v>
      </c>
    </row>
    <row r="433" spans="1:11" x14ac:dyDescent="0.15">
      <c r="A433" t="s">
        <v>2953</v>
      </c>
      <c r="B433" t="s">
        <v>2954</v>
      </c>
      <c r="D433" t="s">
        <v>991</v>
      </c>
      <c r="E433" t="s">
        <v>2959</v>
      </c>
      <c r="F433" t="s">
        <v>845</v>
      </c>
      <c r="G433" t="s">
        <v>2960</v>
      </c>
      <c r="H433" t="s">
        <v>843</v>
      </c>
      <c r="I433" t="s">
        <v>996</v>
      </c>
      <c r="J433" t="s">
        <v>997</v>
      </c>
      <c r="K433" t="s">
        <v>998</v>
      </c>
    </row>
    <row r="434" spans="1:11" x14ac:dyDescent="0.15">
      <c r="A434" t="s">
        <v>2961</v>
      </c>
      <c r="B434" t="s">
        <v>2962</v>
      </c>
      <c r="D434" t="s">
        <v>991</v>
      </c>
      <c r="E434" t="s">
        <v>2963</v>
      </c>
      <c r="F434" t="s">
        <v>2964</v>
      </c>
      <c r="G434" t="s">
        <v>2965</v>
      </c>
      <c r="H434" t="s">
        <v>2966</v>
      </c>
      <c r="I434" t="s">
        <v>996</v>
      </c>
      <c r="J434" t="s">
        <v>997</v>
      </c>
      <c r="K434" t="s">
        <v>998</v>
      </c>
    </row>
    <row r="435" spans="1:11" x14ac:dyDescent="0.15">
      <c r="A435" t="s">
        <v>2967</v>
      </c>
      <c r="B435" t="s">
        <v>923</v>
      </c>
      <c r="C435" t="s">
        <v>1793</v>
      </c>
      <c r="D435" t="s">
        <v>991</v>
      </c>
      <c r="E435" t="s">
        <v>2968</v>
      </c>
      <c r="F435" t="s">
        <v>2969</v>
      </c>
      <c r="G435" t="s">
        <v>2970</v>
      </c>
      <c r="H435" t="s">
        <v>2971</v>
      </c>
      <c r="I435" t="s">
        <v>996</v>
      </c>
      <c r="J435" t="s">
        <v>997</v>
      </c>
      <c r="K435" t="s">
        <v>998</v>
      </c>
    </row>
    <row r="436" spans="1:11" x14ac:dyDescent="0.15">
      <c r="A436" t="s">
        <v>2972</v>
      </c>
      <c r="B436" t="s">
        <v>2973</v>
      </c>
      <c r="C436" t="s">
        <v>1793</v>
      </c>
      <c r="D436" t="s">
        <v>991</v>
      </c>
      <c r="E436" t="s">
        <v>2974</v>
      </c>
      <c r="F436" t="s">
        <v>929</v>
      </c>
      <c r="G436" t="s">
        <v>2975</v>
      </c>
      <c r="H436" t="s">
        <v>928</v>
      </c>
      <c r="I436" t="s">
        <v>996</v>
      </c>
      <c r="J436" t="s">
        <v>997</v>
      </c>
      <c r="K436" t="s">
        <v>998</v>
      </c>
    </row>
    <row r="437" spans="1:11" x14ac:dyDescent="0.15">
      <c r="A437" t="s">
        <v>2972</v>
      </c>
      <c r="B437" t="s">
        <v>2973</v>
      </c>
      <c r="C437" t="s">
        <v>1793</v>
      </c>
      <c r="D437" t="s">
        <v>991</v>
      </c>
      <c r="E437" t="s">
        <v>2976</v>
      </c>
      <c r="F437" t="s">
        <v>2977</v>
      </c>
      <c r="G437" t="s">
        <v>2978</v>
      </c>
      <c r="H437" t="s">
        <v>2979</v>
      </c>
      <c r="I437" t="s">
        <v>996</v>
      </c>
      <c r="J437" t="s">
        <v>997</v>
      </c>
      <c r="K437" t="s">
        <v>998</v>
      </c>
    </row>
    <row r="438" spans="1:11" x14ac:dyDescent="0.15">
      <c r="A438" t="s">
        <v>2980</v>
      </c>
      <c r="B438" t="s">
        <v>2981</v>
      </c>
      <c r="C438" t="s">
        <v>1793</v>
      </c>
      <c r="D438" t="s">
        <v>991</v>
      </c>
      <c r="E438" t="s">
        <v>2982</v>
      </c>
      <c r="F438" t="s">
        <v>2983</v>
      </c>
      <c r="G438" t="s">
        <v>2984</v>
      </c>
      <c r="H438" t="s">
        <v>2985</v>
      </c>
      <c r="I438" t="s">
        <v>996</v>
      </c>
      <c r="J438" t="s">
        <v>997</v>
      </c>
      <c r="K438" t="s">
        <v>998</v>
      </c>
    </row>
    <row r="439" spans="1:11" x14ac:dyDescent="0.15">
      <c r="A439" t="s">
        <v>2986</v>
      </c>
      <c r="B439" t="s">
        <v>2987</v>
      </c>
      <c r="C439" t="s">
        <v>1793</v>
      </c>
      <c r="D439" t="s">
        <v>991</v>
      </c>
      <c r="E439" t="s">
        <v>2988</v>
      </c>
      <c r="F439" t="s">
        <v>2989</v>
      </c>
      <c r="G439" t="s">
        <v>2990</v>
      </c>
      <c r="H439" t="s">
        <v>2991</v>
      </c>
      <c r="I439" t="s">
        <v>996</v>
      </c>
      <c r="J439" t="s">
        <v>997</v>
      </c>
      <c r="K439" t="s">
        <v>998</v>
      </c>
    </row>
    <row r="440" spans="1:11" x14ac:dyDescent="0.15">
      <c r="A440" t="s">
        <v>2992</v>
      </c>
      <c r="B440" t="s">
        <v>2993</v>
      </c>
      <c r="C440" t="s">
        <v>1793</v>
      </c>
      <c r="D440" t="s">
        <v>991</v>
      </c>
      <c r="E440" t="s">
        <v>2994</v>
      </c>
      <c r="F440" t="s">
        <v>923</v>
      </c>
      <c r="G440" t="s">
        <v>2995</v>
      </c>
      <c r="H440" t="s">
        <v>922</v>
      </c>
      <c r="I440" t="s">
        <v>996</v>
      </c>
      <c r="J440" t="s">
        <v>997</v>
      </c>
      <c r="K440" t="s">
        <v>998</v>
      </c>
    </row>
    <row r="441" spans="1:11" x14ac:dyDescent="0.15">
      <c r="A441" t="s">
        <v>2992</v>
      </c>
      <c r="B441" t="s">
        <v>2993</v>
      </c>
      <c r="C441" t="s">
        <v>1793</v>
      </c>
      <c r="D441" t="s">
        <v>991</v>
      </c>
      <c r="E441" t="s">
        <v>2996</v>
      </c>
      <c r="F441" t="s">
        <v>2997</v>
      </c>
      <c r="G441" t="s">
        <v>2998</v>
      </c>
      <c r="H441" t="s">
        <v>2999</v>
      </c>
      <c r="I441" t="s">
        <v>996</v>
      </c>
      <c r="J441" t="s">
        <v>997</v>
      </c>
      <c r="K441" t="s">
        <v>998</v>
      </c>
    </row>
    <row r="442" spans="1:11" x14ac:dyDescent="0.15">
      <c r="A442" t="s">
        <v>3000</v>
      </c>
      <c r="B442" t="s">
        <v>3001</v>
      </c>
      <c r="C442" t="s">
        <v>1793</v>
      </c>
      <c r="D442" t="s">
        <v>991</v>
      </c>
      <c r="E442" t="s">
        <v>3002</v>
      </c>
      <c r="F442" t="s">
        <v>3003</v>
      </c>
      <c r="G442" t="s">
        <v>3004</v>
      </c>
      <c r="H442" t="s">
        <v>3005</v>
      </c>
      <c r="I442" t="s">
        <v>996</v>
      </c>
      <c r="J442" t="s">
        <v>997</v>
      </c>
      <c r="K442" t="s">
        <v>998</v>
      </c>
    </row>
    <row r="443" spans="1:11" x14ac:dyDescent="0.15">
      <c r="A443" t="s">
        <v>3006</v>
      </c>
      <c r="B443" t="s">
        <v>3007</v>
      </c>
      <c r="C443" t="s">
        <v>1793</v>
      </c>
      <c r="D443" t="s">
        <v>991</v>
      </c>
      <c r="E443" t="s">
        <v>3008</v>
      </c>
      <c r="F443" t="s">
        <v>3009</v>
      </c>
      <c r="G443" t="s">
        <v>3010</v>
      </c>
      <c r="H443" t="s">
        <v>3011</v>
      </c>
      <c r="I443" t="s">
        <v>996</v>
      </c>
      <c r="J443" t="s">
        <v>997</v>
      </c>
      <c r="K443" t="s">
        <v>998</v>
      </c>
    </row>
    <row r="444" spans="1:11" x14ac:dyDescent="0.15">
      <c r="A444" t="s">
        <v>3012</v>
      </c>
      <c r="B444" t="s">
        <v>3013</v>
      </c>
      <c r="C444" t="s">
        <v>1793</v>
      </c>
      <c r="D444" t="s">
        <v>991</v>
      </c>
      <c r="E444" t="s">
        <v>3014</v>
      </c>
      <c r="F444" t="s">
        <v>3015</v>
      </c>
      <c r="G444" t="s">
        <v>3016</v>
      </c>
      <c r="H444" t="s">
        <v>3017</v>
      </c>
      <c r="I444" t="s">
        <v>996</v>
      </c>
      <c r="J444" t="s">
        <v>997</v>
      </c>
      <c r="K444" t="s">
        <v>998</v>
      </c>
    </row>
    <row r="445" spans="1:11" x14ac:dyDescent="0.15">
      <c r="A445" t="s">
        <v>3018</v>
      </c>
      <c r="B445" t="s">
        <v>3019</v>
      </c>
      <c r="D445" t="s">
        <v>991</v>
      </c>
      <c r="E445" t="s">
        <v>3020</v>
      </c>
      <c r="F445" t="s">
        <v>3021</v>
      </c>
      <c r="G445" t="s">
        <v>3022</v>
      </c>
      <c r="H445" t="s">
        <v>3023</v>
      </c>
      <c r="I445" t="s">
        <v>996</v>
      </c>
      <c r="J445" t="s">
        <v>997</v>
      </c>
      <c r="K445" t="s">
        <v>998</v>
      </c>
    </row>
    <row r="446" spans="1:11" x14ac:dyDescent="0.15">
      <c r="A446" t="s">
        <v>3024</v>
      </c>
      <c r="B446" t="s">
        <v>3025</v>
      </c>
      <c r="C446" t="s">
        <v>1793</v>
      </c>
      <c r="D446" t="s">
        <v>991</v>
      </c>
      <c r="E446" t="s">
        <v>3026</v>
      </c>
      <c r="F446" t="s">
        <v>3027</v>
      </c>
      <c r="G446" t="s">
        <v>3028</v>
      </c>
      <c r="H446" t="s">
        <v>3029</v>
      </c>
      <c r="I446" t="s">
        <v>996</v>
      </c>
      <c r="J446" t="s">
        <v>997</v>
      </c>
      <c r="K446" t="s">
        <v>998</v>
      </c>
    </row>
    <row r="447" spans="1:11" x14ac:dyDescent="0.15">
      <c r="A447" t="s">
        <v>3030</v>
      </c>
      <c r="B447" t="s">
        <v>3031</v>
      </c>
      <c r="C447" t="s">
        <v>1793</v>
      </c>
      <c r="D447" t="s">
        <v>991</v>
      </c>
      <c r="E447" t="s">
        <v>3032</v>
      </c>
      <c r="F447" t="s">
        <v>3033</v>
      </c>
      <c r="G447" t="s">
        <v>3034</v>
      </c>
      <c r="H447" t="s">
        <v>3035</v>
      </c>
      <c r="I447" t="s">
        <v>996</v>
      </c>
      <c r="J447" t="s">
        <v>997</v>
      </c>
      <c r="K447" t="s">
        <v>998</v>
      </c>
    </row>
    <row r="448" spans="1:11" x14ac:dyDescent="0.15">
      <c r="A448" t="s">
        <v>3036</v>
      </c>
      <c r="B448" t="s">
        <v>3037</v>
      </c>
      <c r="C448" t="s">
        <v>1793</v>
      </c>
      <c r="D448" t="s">
        <v>991</v>
      </c>
      <c r="E448" t="s">
        <v>3038</v>
      </c>
      <c r="F448" t="s">
        <v>3039</v>
      </c>
      <c r="G448" t="s">
        <v>3040</v>
      </c>
      <c r="H448" t="s">
        <v>3041</v>
      </c>
      <c r="I448" t="s">
        <v>996</v>
      </c>
      <c r="J448" t="s">
        <v>997</v>
      </c>
      <c r="K448" t="s">
        <v>998</v>
      </c>
    </row>
    <row r="449" spans="1:11" x14ac:dyDescent="0.15">
      <c r="A449" t="s">
        <v>3042</v>
      </c>
      <c r="B449" t="s">
        <v>3043</v>
      </c>
      <c r="C449" t="s">
        <v>1793</v>
      </c>
      <c r="D449" t="s">
        <v>991</v>
      </c>
      <c r="E449" t="s">
        <v>3044</v>
      </c>
      <c r="F449" t="s">
        <v>3045</v>
      </c>
      <c r="G449" t="s">
        <v>3046</v>
      </c>
      <c r="H449" t="s">
        <v>3047</v>
      </c>
      <c r="I449" t="s">
        <v>996</v>
      </c>
      <c r="J449" t="s">
        <v>997</v>
      </c>
      <c r="K449" t="s">
        <v>998</v>
      </c>
    </row>
    <row r="450" spans="1:11" x14ac:dyDescent="0.15">
      <c r="A450" t="s">
        <v>3048</v>
      </c>
      <c r="B450" t="s">
        <v>3049</v>
      </c>
      <c r="C450" t="s">
        <v>1793</v>
      </c>
      <c r="D450" t="s">
        <v>991</v>
      </c>
      <c r="E450" t="s">
        <v>3050</v>
      </c>
      <c r="F450" t="s">
        <v>3051</v>
      </c>
      <c r="G450" t="s">
        <v>3052</v>
      </c>
      <c r="H450" t="s">
        <v>3053</v>
      </c>
      <c r="I450" t="s">
        <v>996</v>
      </c>
      <c r="J450" t="s">
        <v>997</v>
      </c>
      <c r="K450" t="s">
        <v>998</v>
      </c>
    </row>
    <row r="451" spans="1:11" x14ac:dyDescent="0.15">
      <c r="A451" t="s">
        <v>3054</v>
      </c>
      <c r="B451" t="s">
        <v>3055</v>
      </c>
      <c r="C451" t="s">
        <v>1793</v>
      </c>
      <c r="D451" t="s">
        <v>991</v>
      </c>
      <c r="E451" t="s">
        <v>3056</v>
      </c>
      <c r="F451" t="s">
        <v>3057</v>
      </c>
      <c r="G451" t="s">
        <v>3058</v>
      </c>
      <c r="H451" t="s">
        <v>3059</v>
      </c>
      <c r="I451" t="s">
        <v>996</v>
      </c>
      <c r="J451" t="s">
        <v>997</v>
      </c>
      <c r="K451" t="s">
        <v>998</v>
      </c>
    </row>
    <row r="452" spans="1:11" x14ac:dyDescent="0.15">
      <c r="A452" t="s">
        <v>3060</v>
      </c>
      <c r="B452" t="s">
        <v>3061</v>
      </c>
      <c r="C452" t="s">
        <v>1793</v>
      </c>
      <c r="D452" t="s">
        <v>991</v>
      </c>
      <c r="E452" t="s">
        <v>3062</v>
      </c>
      <c r="F452" t="s">
        <v>3063</v>
      </c>
      <c r="G452" t="s">
        <v>3064</v>
      </c>
      <c r="H452" t="s">
        <v>925</v>
      </c>
      <c r="I452" t="s">
        <v>996</v>
      </c>
      <c r="J452" t="s">
        <v>997</v>
      </c>
      <c r="K452" t="s">
        <v>998</v>
      </c>
    </row>
    <row r="453" spans="1:11" x14ac:dyDescent="0.15">
      <c r="A453" t="s">
        <v>3060</v>
      </c>
      <c r="B453" t="s">
        <v>3061</v>
      </c>
      <c r="C453" t="s">
        <v>1793</v>
      </c>
      <c r="D453" t="s">
        <v>991</v>
      </c>
      <c r="E453" t="s">
        <v>3065</v>
      </c>
      <c r="F453" t="s">
        <v>3066</v>
      </c>
      <c r="G453" t="s">
        <v>3067</v>
      </c>
      <c r="H453" t="s">
        <v>3068</v>
      </c>
      <c r="I453" t="s">
        <v>996</v>
      </c>
      <c r="J453" t="s">
        <v>997</v>
      </c>
      <c r="K453" t="s">
        <v>998</v>
      </c>
    </row>
    <row r="454" spans="1:11" x14ac:dyDescent="0.15">
      <c r="A454" t="s">
        <v>3069</v>
      </c>
      <c r="B454" t="s">
        <v>3070</v>
      </c>
      <c r="C454" t="s">
        <v>1793</v>
      </c>
      <c r="D454" t="s">
        <v>991</v>
      </c>
      <c r="E454" t="s">
        <v>3071</v>
      </c>
      <c r="F454" t="s">
        <v>3070</v>
      </c>
      <c r="G454" t="s">
        <v>3072</v>
      </c>
      <c r="H454" t="s">
        <v>919</v>
      </c>
      <c r="I454" t="s">
        <v>996</v>
      </c>
      <c r="J454" t="s">
        <v>997</v>
      </c>
      <c r="K454" t="s">
        <v>998</v>
      </c>
    </row>
    <row r="455" spans="1:11" x14ac:dyDescent="0.15">
      <c r="A455" t="s">
        <v>3069</v>
      </c>
      <c r="B455" t="s">
        <v>3070</v>
      </c>
      <c r="C455" t="s">
        <v>1793</v>
      </c>
      <c r="D455" t="s">
        <v>991</v>
      </c>
      <c r="E455" t="s">
        <v>3073</v>
      </c>
      <c r="F455" t="s">
        <v>3074</v>
      </c>
      <c r="G455" t="s">
        <v>3075</v>
      </c>
      <c r="H455" t="s">
        <v>3076</v>
      </c>
      <c r="I455" t="s">
        <v>996</v>
      </c>
      <c r="J455" t="s">
        <v>997</v>
      </c>
      <c r="K455" t="s">
        <v>998</v>
      </c>
    </row>
    <row r="456" spans="1:11" x14ac:dyDescent="0.15">
      <c r="A456" t="s">
        <v>3077</v>
      </c>
      <c r="B456" t="s">
        <v>3078</v>
      </c>
      <c r="C456" t="s">
        <v>1793</v>
      </c>
      <c r="D456" t="s">
        <v>991</v>
      </c>
      <c r="E456" t="s">
        <v>3079</v>
      </c>
      <c r="F456" t="s">
        <v>3080</v>
      </c>
      <c r="G456" t="s">
        <v>3081</v>
      </c>
      <c r="H456" t="s">
        <v>3082</v>
      </c>
      <c r="I456" t="s">
        <v>996</v>
      </c>
      <c r="J456" t="s">
        <v>997</v>
      </c>
      <c r="K456" t="s">
        <v>998</v>
      </c>
    </row>
    <row r="457" spans="1:11" x14ac:dyDescent="0.15">
      <c r="A457" t="s">
        <v>3077</v>
      </c>
      <c r="B457" t="s">
        <v>3078</v>
      </c>
      <c r="C457" t="s">
        <v>1793</v>
      </c>
      <c r="D457" t="s">
        <v>991</v>
      </c>
      <c r="E457" t="s">
        <v>3083</v>
      </c>
      <c r="F457" t="s">
        <v>914</v>
      </c>
      <c r="G457" t="s">
        <v>3084</v>
      </c>
      <c r="H457" t="s">
        <v>913</v>
      </c>
      <c r="I457" t="s">
        <v>996</v>
      </c>
      <c r="J457" t="s">
        <v>997</v>
      </c>
      <c r="K457" t="s">
        <v>998</v>
      </c>
    </row>
    <row r="458" spans="1:11" x14ac:dyDescent="0.15">
      <c r="A458" t="s">
        <v>3085</v>
      </c>
      <c r="B458" t="s">
        <v>3086</v>
      </c>
      <c r="C458" t="s">
        <v>1793</v>
      </c>
      <c r="D458" t="s">
        <v>991</v>
      </c>
      <c r="E458" t="s">
        <v>3087</v>
      </c>
      <c r="F458" t="s">
        <v>3088</v>
      </c>
      <c r="G458" t="s">
        <v>3089</v>
      </c>
      <c r="H458" t="s">
        <v>3090</v>
      </c>
      <c r="I458" t="s">
        <v>996</v>
      </c>
      <c r="J458" t="s">
        <v>997</v>
      </c>
      <c r="K458" t="s">
        <v>998</v>
      </c>
    </row>
    <row r="459" spans="1:11" x14ac:dyDescent="0.15">
      <c r="A459" t="s">
        <v>3085</v>
      </c>
      <c r="B459" t="s">
        <v>3086</v>
      </c>
      <c r="C459" t="s">
        <v>1793</v>
      </c>
      <c r="D459" t="s">
        <v>991</v>
      </c>
      <c r="E459" t="s">
        <v>3091</v>
      </c>
      <c r="F459" t="s">
        <v>917</v>
      </c>
      <c r="G459" t="s">
        <v>3092</v>
      </c>
      <c r="H459" t="s">
        <v>916</v>
      </c>
      <c r="I459" t="s">
        <v>996</v>
      </c>
      <c r="J459" t="s">
        <v>997</v>
      </c>
      <c r="K459" t="s">
        <v>998</v>
      </c>
    </row>
    <row r="460" spans="1:11" x14ac:dyDescent="0.15">
      <c r="A460" t="s">
        <v>3093</v>
      </c>
      <c r="B460" t="s">
        <v>827</v>
      </c>
      <c r="D460" t="s">
        <v>991</v>
      </c>
      <c r="E460" t="s">
        <v>3094</v>
      </c>
      <c r="F460" t="s">
        <v>827</v>
      </c>
      <c r="G460" t="s">
        <v>3095</v>
      </c>
      <c r="H460" t="s">
        <v>826</v>
      </c>
      <c r="I460" t="s">
        <v>996</v>
      </c>
      <c r="J460" t="s">
        <v>997</v>
      </c>
      <c r="K460" t="s">
        <v>998</v>
      </c>
    </row>
    <row r="461" spans="1:11" x14ac:dyDescent="0.15">
      <c r="A461" t="s">
        <v>3093</v>
      </c>
      <c r="B461" t="s">
        <v>827</v>
      </c>
      <c r="D461" t="s">
        <v>991</v>
      </c>
      <c r="E461" t="s">
        <v>3096</v>
      </c>
      <c r="F461" t="s">
        <v>829</v>
      </c>
      <c r="G461" t="s">
        <v>3097</v>
      </c>
      <c r="H461" t="s">
        <v>828</v>
      </c>
      <c r="I461" t="s">
        <v>996</v>
      </c>
      <c r="J461" t="s">
        <v>997</v>
      </c>
      <c r="K461" t="s">
        <v>998</v>
      </c>
    </row>
    <row r="462" spans="1:11" x14ac:dyDescent="0.15">
      <c r="A462" t="s">
        <v>3098</v>
      </c>
      <c r="B462" t="s">
        <v>3099</v>
      </c>
      <c r="D462" t="s">
        <v>991</v>
      </c>
      <c r="E462" t="s">
        <v>3100</v>
      </c>
      <c r="F462" t="s">
        <v>3101</v>
      </c>
      <c r="G462" t="s">
        <v>3102</v>
      </c>
      <c r="H462" t="s">
        <v>3103</v>
      </c>
      <c r="I462" t="s">
        <v>996</v>
      </c>
      <c r="J462" t="s">
        <v>997</v>
      </c>
      <c r="K462" t="s">
        <v>998</v>
      </c>
    </row>
    <row r="463" spans="1:11" x14ac:dyDescent="0.15">
      <c r="A463" t="s">
        <v>3104</v>
      </c>
      <c r="B463" t="s">
        <v>3105</v>
      </c>
      <c r="D463" t="s">
        <v>991</v>
      </c>
      <c r="E463" t="s">
        <v>3106</v>
      </c>
      <c r="F463" t="s">
        <v>3107</v>
      </c>
      <c r="G463" t="s">
        <v>3108</v>
      </c>
      <c r="H463" t="s">
        <v>3109</v>
      </c>
      <c r="I463" t="s">
        <v>996</v>
      </c>
      <c r="J463" t="s">
        <v>997</v>
      </c>
      <c r="K463" t="s">
        <v>998</v>
      </c>
    </row>
    <row r="464" spans="1:11" x14ac:dyDescent="0.15">
      <c r="A464" t="s">
        <v>3110</v>
      </c>
      <c r="B464" t="s">
        <v>882</v>
      </c>
      <c r="D464" t="s">
        <v>991</v>
      </c>
      <c r="E464" t="s">
        <v>3111</v>
      </c>
      <c r="F464" t="s">
        <v>882</v>
      </c>
      <c r="G464" t="s">
        <v>3112</v>
      </c>
      <c r="H464" t="s">
        <v>880</v>
      </c>
      <c r="I464" t="s">
        <v>996</v>
      </c>
      <c r="J464" t="s">
        <v>997</v>
      </c>
      <c r="K464" t="s">
        <v>998</v>
      </c>
    </row>
    <row r="465" spans="1:11" x14ac:dyDescent="0.15">
      <c r="A465" t="s">
        <v>3110</v>
      </c>
      <c r="B465" t="s">
        <v>882</v>
      </c>
      <c r="D465" t="s">
        <v>991</v>
      </c>
      <c r="E465" t="s">
        <v>3113</v>
      </c>
      <c r="F465" t="s">
        <v>885</v>
      </c>
      <c r="G465" t="s">
        <v>3114</v>
      </c>
      <c r="H465" t="s">
        <v>883</v>
      </c>
      <c r="I465" t="s">
        <v>996</v>
      </c>
      <c r="J465" t="s">
        <v>997</v>
      </c>
      <c r="K465" t="s">
        <v>998</v>
      </c>
    </row>
    <row r="466" spans="1:11" x14ac:dyDescent="0.15">
      <c r="A466" t="s">
        <v>3115</v>
      </c>
      <c r="B466" t="s">
        <v>3116</v>
      </c>
      <c r="D466" t="s">
        <v>991</v>
      </c>
      <c r="E466" t="s">
        <v>3117</v>
      </c>
      <c r="F466" t="s">
        <v>3118</v>
      </c>
      <c r="G466" t="s">
        <v>3119</v>
      </c>
      <c r="H466" t="s">
        <v>3120</v>
      </c>
      <c r="I466" t="s">
        <v>996</v>
      </c>
      <c r="J466" t="s">
        <v>997</v>
      </c>
      <c r="K466" t="s">
        <v>998</v>
      </c>
    </row>
    <row r="467" spans="1:11" x14ac:dyDescent="0.15">
      <c r="A467" t="s">
        <v>3121</v>
      </c>
      <c r="B467" t="s">
        <v>3122</v>
      </c>
      <c r="D467" t="s">
        <v>991</v>
      </c>
      <c r="E467" t="s">
        <v>3123</v>
      </c>
      <c r="F467" t="s">
        <v>3124</v>
      </c>
      <c r="G467" t="s">
        <v>3125</v>
      </c>
      <c r="H467" t="s">
        <v>3126</v>
      </c>
      <c r="I467" t="s">
        <v>996</v>
      </c>
      <c r="J467" t="s">
        <v>997</v>
      </c>
      <c r="K467" t="s">
        <v>998</v>
      </c>
    </row>
    <row r="468" spans="1:11" x14ac:dyDescent="0.15">
      <c r="A468" t="s">
        <v>3127</v>
      </c>
      <c r="B468" t="s">
        <v>3128</v>
      </c>
      <c r="D468" t="s">
        <v>991</v>
      </c>
      <c r="E468" t="s">
        <v>3129</v>
      </c>
      <c r="F468" t="s">
        <v>3130</v>
      </c>
      <c r="G468" t="s">
        <v>3131</v>
      </c>
      <c r="H468" t="s">
        <v>3132</v>
      </c>
      <c r="I468" t="s">
        <v>996</v>
      </c>
      <c r="J468" t="s">
        <v>997</v>
      </c>
      <c r="K468" t="s">
        <v>998</v>
      </c>
    </row>
    <row r="469" spans="1:11" x14ac:dyDescent="0.15">
      <c r="A469" t="s">
        <v>3127</v>
      </c>
      <c r="B469" t="s">
        <v>3128</v>
      </c>
      <c r="D469" t="s">
        <v>991</v>
      </c>
      <c r="E469" t="s">
        <v>3133</v>
      </c>
      <c r="F469" t="s">
        <v>855</v>
      </c>
      <c r="G469" t="s">
        <v>3134</v>
      </c>
      <c r="H469" t="s">
        <v>853</v>
      </c>
      <c r="I469" t="s">
        <v>996</v>
      </c>
      <c r="J469" t="s">
        <v>997</v>
      </c>
      <c r="K469" t="s">
        <v>998</v>
      </c>
    </row>
    <row r="470" spans="1:11" x14ac:dyDescent="0.15">
      <c r="A470" t="s">
        <v>3135</v>
      </c>
      <c r="B470" t="s">
        <v>3136</v>
      </c>
      <c r="D470" t="s">
        <v>991</v>
      </c>
      <c r="E470" t="s">
        <v>3137</v>
      </c>
      <c r="F470" t="s">
        <v>3138</v>
      </c>
      <c r="G470" t="s">
        <v>3139</v>
      </c>
      <c r="H470" t="s">
        <v>3140</v>
      </c>
      <c r="I470" t="s">
        <v>996</v>
      </c>
      <c r="J470" t="s">
        <v>997</v>
      </c>
      <c r="K470" t="s">
        <v>998</v>
      </c>
    </row>
    <row r="471" spans="1:11" x14ac:dyDescent="0.15">
      <c r="A471" t="s">
        <v>3141</v>
      </c>
      <c r="B471" t="s">
        <v>3142</v>
      </c>
      <c r="D471" t="s">
        <v>991</v>
      </c>
      <c r="E471" t="s">
        <v>3143</v>
      </c>
      <c r="F471" t="s">
        <v>3144</v>
      </c>
      <c r="G471" t="s">
        <v>3145</v>
      </c>
      <c r="H471" t="s">
        <v>3146</v>
      </c>
      <c r="I471" t="s">
        <v>996</v>
      </c>
      <c r="J471" t="s">
        <v>997</v>
      </c>
      <c r="K471" t="s">
        <v>998</v>
      </c>
    </row>
    <row r="472" spans="1:11" x14ac:dyDescent="0.15">
      <c r="A472" t="s">
        <v>3141</v>
      </c>
      <c r="B472" t="s">
        <v>3142</v>
      </c>
      <c r="D472" t="s">
        <v>991</v>
      </c>
      <c r="E472" t="s">
        <v>3147</v>
      </c>
      <c r="F472" t="s">
        <v>3148</v>
      </c>
      <c r="G472" t="s">
        <v>3149</v>
      </c>
      <c r="H472" t="s">
        <v>3150</v>
      </c>
      <c r="I472" t="s">
        <v>996</v>
      </c>
      <c r="J472" t="s">
        <v>997</v>
      </c>
      <c r="K472" t="s">
        <v>998</v>
      </c>
    </row>
    <row r="473" spans="1:11" x14ac:dyDescent="0.15">
      <c r="A473" t="s">
        <v>3151</v>
      </c>
      <c r="B473" t="s">
        <v>3152</v>
      </c>
      <c r="D473" t="s">
        <v>991</v>
      </c>
      <c r="E473" t="s">
        <v>3153</v>
      </c>
      <c r="F473" t="s">
        <v>3154</v>
      </c>
      <c r="G473" t="s">
        <v>3155</v>
      </c>
      <c r="H473" t="s">
        <v>3156</v>
      </c>
      <c r="I473" t="s">
        <v>996</v>
      </c>
      <c r="J473" t="s">
        <v>997</v>
      </c>
      <c r="K473" t="s">
        <v>998</v>
      </c>
    </row>
    <row r="474" spans="1:11" x14ac:dyDescent="0.15">
      <c r="A474" t="s">
        <v>3151</v>
      </c>
      <c r="B474" t="s">
        <v>3152</v>
      </c>
      <c r="D474" t="s">
        <v>991</v>
      </c>
      <c r="E474" t="s">
        <v>3157</v>
      </c>
      <c r="F474" t="s">
        <v>3158</v>
      </c>
      <c r="G474" t="s">
        <v>3159</v>
      </c>
      <c r="H474" t="s">
        <v>3160</v>
      </c>
      <c r="I474" t="s">
        <v>996</v>
      </c>
      <c r="J474" t="s">
        <v>997</v>
      </c>
      <c r="K474" t="s">
        <v>998</v>
      </c>
    </row>
    <row r="475" spans="1:11" x14ac:dyDescent="0.15">
      <c r="A475" t="s">
        <v>3161</v>
      </c>
      <c r="B475" t="s">
        <v>3162</v>
      </c>
      <c r="D475" t="s">
        <v>991</v>
      </c>
      <c r="E475" t="s">
        <v>3163</v>
      </c>
      <c r="F475" t="s">
        <v>3164</v>
      </c>
      <c r="G475" t="s">
        <v>3165</v>
      </c>
      <c r="H475" t="s">
        <v>3166</v>
      </c>
      <c r="I475" t="s">
        <v>996</v>
      </c>
      <c r="J475" t="s">
        <v>997</v>
      </c>
      <c r="K475" t="s">
        <v>998</v>
      </c>
    </row>
    <row r="476" spans="1:11" x14ac:dyDescent="0.15">
      <c r="A476" t="s">
        <v>3161</v>
      </c>
      <c r="B476" t="s">
        <v>3162</v>
      </c>
      <c r="D476" t="s">
        <v>991</v>
      </c>
      <c r="E476" t="s">
        <v>3167</v>
      </c>
      <c r="F476" t="s">
        <v>3168</v>
      </c>
      <c r="G476" t="s">
        <v>3169</v>
      </c>
      <c r="H476" t="s">
        <v>3170</v>
      </c>
      <c r="I476" t="s">
        <v>996</v>
      </c>
      <c r="J476" t="s">
        <v>997</v>
      </c>
      <c r="K476" t="s">
        <v>998</v>
      </c>
    </row>
    <row r="477" spans="1:11" x14ac:dyDescent="0.15">
      <c r="A477" t="s">
        <v>3171</v>
      </c>
      <c r="B477" t="s">
        <v>3172</v>
      </c>
      <c r="D477" t="s">
        <v>991</v>
      </c>
      <c r="E477" t="s">
        <v>3173</v>
      </c>
      <c r="F477" t="s">
        <v>3174</v>
      </c>
      <c r="G477" t="s">
        <v>3175</v>
      </c>
      <c r="H477" t="s">
        <v>3176</v>
      </c>
      <c r="I477" t="s">
        <v>996</v>
      </c>
      <c r="J477" t="s">
        <v>997</v>
      </c>
      <c r="K477" t="s">
        <v>998</v>
      </c>
    </row>
    <row r="478" spans="1:11" x14ac:dyDescent="0.15">
      <c r="A478" t="s">
        <v>3177</v>
      </c>
      <c r="B478" t="s">
        <v>3178</v>
      </c>
      <c r="D478" t="s">
        <v>991</v>
      </c>
      <c r="E478" t="s">
        <v>3179</v>
      </c>
      <c r="F478" t="s">
        <v>3180</v>
      </c>
      <c r="G478" t="s">
        <v>3181</v>
      </c>
      <c r="H478" t="s">
        <v>3182</v>
      </c>
      <c r="I478" t="s">
        <v>996</v>
      </c>
      <c r="J478" t="s">
        <v>997</v>
      </c>
      <c r="K478" t="s">
        <v>998</v>
      </c>
    </row>
    <row r="479" spans="1:11" x14ac:dyDescent="0.15">
      <c r="A479" t="s">
        <v>3177</v>
      </c>
      <c r="B479" t="s">
        <v>3178</v>
      </c>
      <c r="D479" t="s">
        <v>991</v>
      </c>
      <c r="E479" t="s">
        <v>3183</v>
      </c>
      <c r="F479" t="s">
        <v>3184</v>
      </c>
      <c r="G479" t="s">
        <v>3185</v>
      </c>
      <c r="H479" t="s">
        <v>3186</v>
      </c>
      <c r="I479" t="s">
        <v>996</v>
      </c>
      <c r="J479" t="s">
        <v>997</v>
      </c>
      <c r="K479" t="s">
        <v>998</v>
      </c>
    </row>
    <row r="480" spans="1:11" x14ac:dyDescent="0.15">
      <c r="A480" t="s">
        <v>3187</v>
      </c>
      <c r="B480" t="s">
        <v>3188</v>
      </c>
      <c r="D480" t="s">
        <v>991</v>
      </c>
      <c r="E480" t="s">
        <v>3189</v>
      </c>
      <c r="F480" t="s">
        <v>3190</v>
      </c>
      <c r="G480" t="s">
        <v>3191</v>
      </c>
      <c r="H480" t="s">
        <v>3192</v>
      </c>
      <c r="I480" t="s">
        <v>996</v>
      </c>
      <c r="J480" t="s">
        <v>997</v>
      </c>
      <c r="K480" t="s">
        <v>998</v>
      </c>
    </row>
    <row r="481" spans="1:11" x14ac:dyDescent="0.15">
      <c r="A481" t="s">
        <v>3193</v>
      </c>
      <c r="B481" t="s">
        <v>3194</v>
      </c>
      <c r="D481" t="s">
        <v>991</v>
      </c>
      <c r="E481" t="s">
        <v>3195</v>
      </c>
      <c r="F481" t="s">
        <v>3196</v>
      </c>
      <c r="G481" t="s">
        <v>3197</v>
      </c>
      <c r="H481" t="s">
        <v>3198</v>
      </c>
      <c r="I481" t="s">
        <v>996</v>
      </c>
      <c r="J481" t="s">
        <v>997</v>
      </c>
      <c r="K481" t="s">
        <v>998</v>
      </c>
    </row>
    <row r="482" spans="1:11" x14ac:dyDescent="0.15">
      <c r="A482" t="s">
        <v>3199</v>
      </c>
      <c r="B482" t="s">
        <v>3200</v>
      </c>
      <c r="D482" t="s">
        <v>991</v>
      </c>
      <c r="E482" t="s">
        <v>3201</v>
      </c>
      <c r="F482" t="s">
        <v>3202</v>
      </c>
      <c r="G482" t="s">
        <v>3203</v>
      </c>
      <c r="H482" t="s">
        <v>3204</v>
      </c>
      <c r="I482" t="s">
        <v>996</v>
      </c>
      <c r="J482" t="s">
        <v>997</v>
      </c>
      <c r="K482" t="s">
        <v>998</v>
      </c>
    </row>
    <row r="483" spans="1:11" x14ac:dyDescent="0.15">
      <c r="A483" t="s">
        <v>3199</v>
      </c>
      <c r="B483" t="s">
        <v>3200</v>
      </c>
      <c r="D483" t="s">
        <v>991</v>
      </c>
      <c r="E483" t="s">
        <v>3205</v>
      </c>
      <c r="F483" t="s">
        <v>545</v>
      </c>
      <c r="G483" t="s">
        <v>3206</v>
      </c>
      <c r="H483" t="s">
        <v>544</v>
      </c>
      <c r="I483" t="s">
        <v>996</v>
      </c>
      <c r="J483" t="s">
        <v>997</v>
      </c>
      <c r="K483" t="s">
        <v>998</v>
      </c>
    </row>
    <row r="484" spans="1:11" x14ac:dyDescent="0.15">
      <c r="A484" t="s">
        <v>3207</v>
      </c>
      <c r="B484" t="s">
        <v>3208</v>
      </c>
      <c r="D484" t="s">
        <v>991</v>
      </c>
      <c r="E484" t="s">
        <v>3209</v>
      </c>
      <c r="F484" t="s">
        <v>3210</v>
      </c>
      <c r="G484" t="s">
        <v>3211</v>
      </c>
      <c r="H484" t="s">
        <v>3212</v>
      </c>
      <c r="I484" t="s">
        <v>996</v>
      </c>
      <c r="J484" t="s">
        <v>997</v>
      </c>
      <c r="K484" t="s">
        <v>998</v>
      </c>
    </row>
    <row r="485" spans="1:11" x14ac:dyDescent="0.15">
      <c r="A485" t="s">
        <v>3213</v>
      </c>
      <c r="B485" t="s">
        <v>3214</v>
      </c>
      <c r="D485" t="s">
        <v>991</v>
      </c>
      <c r="E485" t="s">
        <v>3215</v>
      </c>
      <c r="F485" t="s">
        <v>3216</v>
      </c>
      <c r="G485" t="s">
        <v>3217</v>
      </c>
      <c r="H485" t="s">
        <v>3218</v>
      </c>
      <c r="I485" t="s">
        <v>996</v>
      </c>
      <c r="J485" t="s">
        <v>997</v>
      </c>
      <c r="K485" t="s">
        <v>998</v>
      </c>
    </row>
    <row r="486" spans="1:11" x14ac:dyDescent="0.15">
      <c r="A486" t="s">
        <v>3213</v>
      </c>
      <c r="B486" t="s">
        <v>3214</v>
      </c>
      <c r="D486" t="s">
        <v>991</v>
      </c>
      <c r="E486" t="s">
        <v>3219</v>
      </c>
      <c r="F486" t="s">
        <v>3220</v>
      </c>
      <c r="G486" t="s">
        <v>3221</v>
      </c>
      <c r="H486" t="s">
        <v>3222</v>
      </c>
      <c r="I486" t="s">
        <v>996</v>
      </c>
      <c r="J486" t="s">
        <v>997</v>
      </c>
      <c r="K486" t="s">
        <v>998</v>
      </c>
    </row>
    <row r="487" spans="1:11" x14ac:dyDescent="0.15">
      <c r="A487" t="s">
        <v>3213</v>
      </c>
      <c r="B487" t="s">
        <v>3214</v>
      </c>
      <c r="D487" t="s">
        <v>991</v>
      </c>
      <c r="E487" t="s">
        <v>3223</v>
      </c>
      <c r="F487" t="s">
        <v>3224</v>
      </c>
      <c r="G487" t="s">
        <v>3225</v>
      </c>
      <c r="H487" t="s">
        <v>3226</v>
      </c>
      <c r="I487" t="s">
        <v>996</v>
      </c>
      <c r="J487" t="s">
        <v>997</v>
      </c>
      <c r="K487" t="s">
        <v>998</v>
      </c>
    </row>
    <row r="488" spans="1:11" x14ac:dyDescent="0.15">
      <c r="A488" t="s">
        <v>3227</v>
      </c>
      <c r="B488" t="s">
        <v>3228</v>
      </c>
      <c r="C488" t="s">
        <v>3229</v>
      </c>
      <c r="D488" t="s">
        <v>991</v>
      </c>
      <c r="F488" t="s">
        <v>997</v>
      </c>
      <c r="H488" t="s">
        <v>3230</v>
      </c>
      <c r="I488" t="s">
        <v>996</v>
      </c>
      <c r="J488" t="s">
        <v>997</v>
      </c>
      <c r="K488" t="s">
        <v>998</v>
      </c>
    </row>
    <row r="489" spans="1:11" x14ac:dyDescent="0.15">
      <c r="A489" t="s">
        <v>3231</v>
      </c>
      <c r="B489" t="s">
        <v>3232</v>
      </c>
      <c r="C489" t="s">
        <v>3233</v>
      </c>
      <c r="D489" t="s">
        <v>991</v>
      </c>
      <c r="E489" t="s">
        <v>3234</v>
      </c>
      <c r="F489" t="s">
        <v>3235</v>
      </c>
      <c r="G489" t="s">
        <v>3236</v>
      </c>
      <c r="H489" t="s">
        <v>3237</v>
      </c>
      <c r="I489" t="s">
        <v>996</v>
      </c>
      <c r="J489" t="s">
        <v>997</v>
      </c>
      <c r="K489" t="s">
        <v>998</v>
      </c>
    </row>
    <row r="490" spans="1:11" x14ac:dyDescent="0.15">
      <c r="A490" t="s">
        <v>3238</v>
      </c>
      <c r="B490" t="s">
        <v>878</v>
      </c>
      <c r="D490" t="s">
        <v>991</v>
      </c>
      <c r="E490" t="s">
        <v>3239</v>
      </c>
      <c r="F490" t="s">
        <v>3240</v>
      </c>
      <c r="G490" t="s">
        <v>3241</v>
      </c>
      <c r="H490" t="s">
        <v>3242</v>
      </c>
      <c r="I490" t="s">
        <v>996</v>
      </c>
      <c r="J490" t="s">
        <v>997</v>
      </c>
      <c r="K490" t="s">
        <v>998</v>
      </c>
    </row>
    <row r="491" spans="1:11" x14ac:dyDescent="0.15">
      <c r="A491" t="s">
        <v>3238</v>
      </c>
      <c r="B491" t="s">
        <v>878</v>
      </c>
      <c r="D491" t="s">
        <v>991</v>
      </c>
      <c r="E491" t="s">
        <v>3243</v>
      </c>
      <c r="F491" t="s">
        <v>878</v>
      </c>
      <c r="G491" t="s">
        <v>3244</v>
      </c>
      <c r="H491" t="s">
        <v>876</v>
      </c>
      <c r="I491" t="s">
        <v>996</v>
      </c>
      <c r="J491" t="s">
        <v>997</v>
      </c>
      <c r="K491" t="s">
        <v>998</v>
      </c>
    </row>
    <row r="492" spans="1:11" x14ac:dyDescent="0.15">
      <c r="A492" t="s">
        <v>3245</v>
      </c>
      <c r="B492" t="s">
        <v>3246</v>
      </c>
      <c r="C492" t="s">
        <v>3247</v>
      </c>
      <c r="D492" t="s">
        <v>991</v>
      </c>
      <c r="E492" t="s">
        <v>3248</v>
      </c>
      <c r="F492" t="s">
        <v>3249</v>
      </c>
      <c r="G492" t="s">
        <v>3250</v>
      </c>
      <c r="H492" t="s">
        <v>3251</v>
      </c>
      <c r="I492" t="s">
        <v>996</v>
      </c>
      <c r="J492" t="s">
        <v>997</v>
      </c>
      <c r="K492" t="s">
        <v>998</v>
      </c>
    </row>
    <row r="493" spans="1:11" x14ac:dyDescent="0.15">
      <c r="A493" t="s">
        <v>3245</v>
      </c>
      <c r="B493" t="s">
        <v>3246</v>
      </c>
      <c r="C493" t="s">
        <v>3247</v>
      </c>
      <c r="D493" t="s">
        <v>991</v>
      </c>
      <c r="E493" t="s">
        <v>3252</v>
      </c>
      <c r="F493" t="s">
        <v>3253</v>
      </c>
      <c r="G493" t="s">
        <v>3254</v>
      </c>
      <c r="H493" t="s">
        <v>3255</v>
      </c>
      <c r="I493" t="s">
        <v>996</v>
      </c>
      <c r="J493" t="s">
        <v>997</v>
      </c>
      <c r="K493" t="s">
        <v>998</v>
      </c>
    </row>
    <row r="494" spans="1:11" x14ac:dyDescent="0.15">
      <c r="A494" t="s">
        <v>3245</v>
      </c>
      <c r="B494" t="s">
        <v>3246</v>
      </c>
      <c r="C494" t="s">
        <v>3247</v>
      </c>
      <c r="D494" t="s">
        <v>991</v>
      </c>
      <c r="E494" t="s">
        <v>3256</v>
      </c>
      <c r="F494" t="s">
        <v>3257</v>
      </c>
      <c r="G494" t="s">
        <v>3258</v>
      </c>
      <c r="H494" t="s">
        <v>3259</v>
      </c>
      <c r="I494" t="s">
        <v>996</v>
      </c>
      <c r="J494" t="s">
        <v>997</v>
      </c>
      <c r="K494" t="s">
        <v>998</v>
      </c>
    </row>
    <row r="495" spans="1:11" x14ac:dyDescent="0.15">
      <c r="A495" t="s">
        <v>3245</v>
      </c>
      <c r="B495" t="s">
        <v>3246</v>
      </c>
      <c r="C495" t="s">
        <v>3247</v>
      </c>
      <c r="D495" t="s">
        <v>991</v>
      </c>
      <c r="E495" t="s">
        <v>3260</v>
      </c>
      <c r="F495" t="s">
        <v>3261</v>
      </c>
      <c r="G495" t="s">
        <v>3262</v>
      </c>
      <c r="H495" t="s">
        <v>3263</v>
      </c>
      <c r="I495" t="s">
        <v>996</v>
      </c>
      <c r="J495" t="s">
        <v>997</v>
      </c>
      <c r="K495" t="s">
        <v>998</v>
      </c>
    </row>
    <row r="496" spans="1:11" x14ac:dyDescent="0.15">
      <c r="A496" t="s">
        <v>3245</v>
      </c>
      <c r="B496" t="s">
        <v>3246</v>
      </c>
      <c r="C496" t="s">
        <v>3247</v>
      </c>
      <c r="D496" t="s">
        <v>991</v>
      </c>
      <c r="E496" t="s">
        <v>3264</v>
      </c>
      <c r="F496" t="s">
        <v>3265</v>
      </c>
      <c r="G496" t="s">
        <v>3266</v>
      </c>
      <c r="H496" t="s">
        <v>3267</v>
      </c>
      <c r="I496" t="s">
        <v>996</v>
      </c>
      <c r="J496" t="s">
        <v>997</v>
      </c>
      <c r="K496" t="s">
        <v>998</v>
      </c>
    </row>
    <row r="497" spans="1:11" s="26" customFormat="1" x14ac:dyDescent="0.15">
      <c r="A497" s="26" t="s">
        <v>3245</v>
      </c>
      <c r="B497" s="26" t="s">
        <v>3246</v>
      </c>
      <c r="C497" s="26" t="s">
        <v>3247</v>
      </c>
      <c r="D497" s="26" t="s">
        <v>991</v>
      </c>
      <c r="F497" s="26" t="s">
        <v>3594</v>
      </c>
      <c r="H497" s="26" t="s">
        <v>3716</v>
      </c>
      <c r="I497" s="26" t="s">
        <v>996</v>
      </c>
      <c r="J497" s="26" t="s">
        <v>997</v>
      </c>
      <c r="K497" s="26" t="s">
        <v>998</v>
      </c>
    </row>
    <row r="498" spans="1:11" x14ac:dyDescent="0.15">
      <c r="A498" t="s">
        <v>3268</v>
      </c>
      <c r="B498" t="s">
        <v>3269</v>
      </c>
      <c r="C498" t="s">
        <v>3233</v>
      </c>
      <c r="D498" t="s">
        <v>991</v>
      </c>
      <c r="E498" t="s">
        <v>3270</v>
      </c>
      <c r="F498" t="s">
        <v>3271</v>
      </c>
      <c r="G498" t="s">
        <v>3272</v>
      </c>
      <c r="H498" t="s">
        <v>3273</v>
      </c>
      <c r="I498" t="s">
        <v>996</v>
      </c>
      <c r="J498" t="s">
        <v>997</v>
      </c>
      <c r="K498" t="s">
        <v>998</v>
      </c>
    </row>
    <row r="499" spans="1:11" x14ac:dyDescent="0.15">
      <c r="A499" t="s">
        <v>3268</v>
      </c>
      <c r="B499" t="s">
        <v>3269</v>
      </c>
      <c r="C499" t="s">
        <v>3233</v>
      </c>
      <c r="D499" t="s">
        <v>991</v>
      </c>
      <c r="E499" t="s">
        <v>3274</v>
      </c>
      <c r="F499" t="s">
        <v>3275</v>
      </c>
      <c r="G499" t="s">
        <v>3276</v>
      </c>
      <c r="H499" t="s">
        <v>3277</v>
      </c>
      <c r="I499" t="s">
        <v>996</v>
      </c>
      <c r="J499" t="s">
        <v>997</v>
      </c>
      <c r="K499" t="s">
        <v>998</v>
      </c>
    </row>
    <row r="500" spans="1:11" x14ac:dyDescent="0.15">
      <c r="A500" t="s">
        <v>3268</v>
      </c>
      <c r="B500" t="s">
        <v>3269</v>
      </c>
      <c r="C500" t="s">
        <v>3233</v>
      </c>
      <c r="D500" t="s">
        <v>991</v>
      </c>
      <c r="E500" t="s">
        <v>3278</v>
      </c>
      <c r="F500" t="s">
        <v>3279</v>
      </c>
      <c r="G500" t="s">
        <v>3280</v>
      </c>
      <c r="H500" t="s">
        <v>3281</v>
      </c>
      <c r="I500" t="s">
        <v>996</v>
      </c>
      <c r="J500" t="s">
        <v>997</v>
      </c>
      <c r="K500" t="s">
        <v>998</v>
      </c>
    </row>
    <row r="501" spans="1:11" x14ac:dyDescent="0.15">
      <c r="A501" t="s">
        <v>3282</v>
      </c>
      <c r="B501" t="s">
        <v>3283</v>
      </c>
      <c r="C501" t="s">
        <v>3284</v>
      </c>
      <c r="D501" t="s">
        <v>991</v>
      </c>
      <c r="E501" t="s">
        <v>3285</v>
      </c>
      <c r="F501" t="s">
        <v>3286</v>
      </c>
      <c r="G501" t="s">
        <v>3287</v>
      </c>
      <c r="H501" t="s">
        <v>3287</v>
      </c>
      <c r="I501" t="s">
        <v>996</v>
      </c>
      <c r="J501" t="s">
        <v>997</v>
      </c>
      <c r="K501" t="s">
        <v>998</v>
      </c>
    </row>
    <row r="502" spans="1:11" x14ac:dyDescent="0.15">
      <c r="A502" t="s">
        <v>3288</v>
      </c>
      <c r="B502" t="s">
        <v>3289</v>
      </c>
      <c r="D502" t="s">
        <v>991</v>
      </c>
      <c r="E502" t="s">
        <v>3290</v>
      </c>
      <c r="F502" t="s">
        <v>872</v>
      </c>
      <c r="G502" t="s">
        <v>3291</v>
      </c>
      <c r="H502" t="s">
        <v>870</v>
      </c>
      <c r="I502" t="s">
        <v>996</v>
      </c>
      <c r="J502" t="s">
        <v>997</v>
      </c>
      <c r="K502" t="s">
        <v>998</v>
      </c>
    </row>
    <row r="503" spans="1:11" x14ac:dyDescent="0.15">
      <c r="A503" t="s">
        <v>3288</v>
      </c>
      <c r="B503" t="s">
        <v>3289</v>
      </c>
      <c r="D503" t="s">
        <v>991</v>
      </c>
      <c r="E503" t="s">
        <v>3292</v>
      </c>
      <c r="F503" t="s">
        <v>874</v>
      </c>
      <c r="G503" t="s">
        <v>3293</v>
      </c>
      <c r="H503" t="s">
        <v>873</v>
      </c>
      <c r="I503" t="s">
        <v>996</v>
      </c>
      <c r="J503" t="s">
        <v>997</v>
      </c>
      <c r="K503" t="s">
        <v>998</v>
      </c>
    </row>
    <row r="504" spans="1:11" x14ac:dyDescent="0.15">
      <c r="A504" t="s">
        <v>3294</v>
      </c>
      <c r="B504" t="s">
        <v>3295</v>
      </c>
      <c r="D504" t="s">
        <v>991</v>
      </c>
      <c r="E504" t="s">
        <v>3296</v>
      </c>
      <c r="F504" t="s">
        <v>3297</v>
      </c>
      <c r="G504" t="s">
        <v>3298</v>
      </c>
      <c r="H504" t="s">
        <v>3299</v>
      </c>
      <c r="I504" t="s">
        <v>996</v>
      </c>
      <c r="J504" t="s">
        <v>997</v>
      </c>
      <c r="K504" t="s">
        <v>998</v>
      </c>
    </row>
    <row r="505" spans="1:11" x14ac:dyDescent="0.15">
      <c r="A505" t="s">
        <v>3294</v>
      </c>
      <c r="B505" t="s">
        <v>3295</v>
      </c>
      <c r="D505" t="s">
        <v>991</v>
      </c>
      <c r="E505" t="s">
        <v>3300</v>
      </c>
      <c r="F505" t="s">
        <v>869</v>
      </c>
      <c r="G505" t="s">
        <v>3301</v>
      </c>
      <c r="H505" t="s">
        <v>868</v>
      </c>
      <c r="I505" t="s">
        <v>996</v>
      </c>
      <c r="J505" t="s">
        <v>997</v>
      </c>
      <c r="K505" t="s">
        <v>998</v>
      </c>
    </row>
    <row r="506" spans="1:11" x14ac:dyDescent="0.15">
      <c r="A506" t="s">
        <v>3302</v>
      </c>
      <c r="B506" t="s">
        <v>3303</v>
      </c>
      <c r="D506" t="s">
        <v>991</v>
      </c>
      <c r="E506" t="s">
        <v>3304</v>
      </c>
      <c r="F506" t="s">
        <v>891</v>
      </c>
      <c r="G506" t="s">
        <v>3305</v>
      </c>
      <c r="H506" t="s">
        <v>889</v>
      </c>
      <c r="I506" t="s">
        <v>996</v>
      </c>
      <c r="J506" t="s">
        <v>997</v>
      </c>
      <c r="K506" t="s">
        <v>998</v>
      </c>
    </row>
    <row r="507" spans="1:11" x14ac:dyDescent="0.15">
      <c r="A507" t="s">
        <v>3306</v>
      </c>
      <c r="B507" t="s">
        <v>3307</v>
      </c>
      <c r="D507" t="s">
        <v>991</v>
      </c>
      <c r="E507" t="s">
        <v>3308</v>
      </c>
      <c r="F507" t="s">
        <v>3309</v>
      </c>
      <c r="G507" t="s">
        <v>3310</v>
      </c>
      <c r="H507" t="s">
        <v>3311</v>
      </c>
      <c r="I507" t="s">
        <v>996</v>
      </c>
      <c r="J507" t="s">
        <v>997</v>
      </c>
      <c r="K507" t="s">
        <v>998</v>
      </c>
    </row>
    <row r="508" spans="1:11" x14ac:dyDescent="0.15">
      <c r="A508" t="s">
        <v>3306</v>
      </c>
      <c r="B508" t="s">
        <v>3307</v>
      </c>
      <c r="D508" t="s">
        <v>991</v>
      </c>
      <c r="E508" t="s">
        <v>3312</v>
      </c>
      <c r="F508" t="s">
        <v>909</v>
      </c>
      <c r="G508" t="s">
        <v>3313</v>
      </c>
      <c r="H508" t="s">
        <v>907</v>
      </c>
      <c r="I508" t="s">
        <v>996</v>
      </c>
      <c r="J508" t="s">
        <v>997</v>
      </c>
      <c r="K508" t="s">
        <v>998</v>
      </c>
    </row>
    <row r="509" spans="1:11" x14ac:dyDescent="0.15">
      <c r="A509" t="s">
        <v>3314</v>
      </c>
      <c r="B509" t="s">
        <v>3315</v>
      </c>
      <c r="D509" t="s">
        <v>991</v>
      </c>
      <c r="E509" t="s">
        <v>3316</v>
      </c>
      <c r="F509" t="s">
        <v>3315</v>
      </c>
      <c r="G509" t="s">
        <v>3317</v>
      </c>
      <c r="H509" t="s">
        <v>3318</v>
      </c>
      <c r="I509" t="s">
        <v>996</v>
      </c>
      <c r="J509" t="s">
        <v>997</v>
      </c>
      <c r="K509" t="s">
        <v>998</v>
      </c>
    </row>
    <row r="510" spans="1:11" x14ac:dyDescent="0.15">
      <c r="A510" t="s">
        <v>3319</v>
      </c>
      <c r="B510" t="s">
        <v>3320</v>
      </c>
      <c r="D510" t="s">
        <v>991</v>
      </c>
      <c r="E510" t="s">
        <v>3321</v>
      </c>
      <c r="F510" t="s">
        <v>3322</v>
      </c>
      <c r="G510" t="s">
        <v>3323</v>
      </c>
      <c r="H510" t="s">
        <v>3324</v>
      </c>
      <c r="I510" t="s">
        <v>996</v>
      </c>
      <c r="J510" t="s">
        <v>997</v>
      </c>
      <c r="K510" t="s">
        <v>998</v>
      </c>
    </row>
    <row r="511" spans="1:11" x14ac:dyDescent="0.15">
      <c r="A511" t="s">
        <v>3319</v>
      </c>
      <c r="B511" t="s">
        <v>3320</v>
      </c>
      <c r="D511" t="s">
        <v>991</v>
      </c>
      <c r="E511" t="s">
        <v>3325</v>
      </c>
      <c r="F511" t="s">
        <v>905</v>
      </c>
      <c r="G511" t="s">
        <v>3326</v>
      </c>
      <c r="H511" t="s">
        <v>903</v>
      </c>
      <c r="I511" t="s">
        <v>996</v>
      </c>
      <c r="J511" t="s">
        <v>997</v>
      </c>
      <c r="K511" t="s">
        <v>998</v>
      </c>
    </row>
    <row r="512" spans="1:11" x14ac:dyDescent="0.15">
      <c r="A512" t="s">
        <v>3327</v>
      </c>
      <c r="B512" t="s">
        <v>3328</v>
      </c>
      <c r="D512" t="s">
        <v>991</v>
      </c>
      <c r="E512" t="s">
        <v>3329</v>
      </c>
      <c r="F512" t="s">
        <v>899</v>
      </c>
      <c r="G512" t="s">
        <v>3330</v>
      </c>
      <c r="H512" t="s">
        <v>897</v>
      </c>
      <c r="I512" t="s">
        <v>996</v>
      </c>
      <c r="J512" t="s">
        <v>997</v>
      </c>
      <c r="K512" t="s">
        <v>998</v>
      </c>
    </row>
    <row r="513" spans="1:11" x14ac:dyDescent="0.15">
      <c r="A513" t="s">
        <v>3331</v>
      </c>
      <c r="B513" t="s">
        <v>894</v>
      </c>
      <c r="D513" t="s">
        <v>991</v>
      </c>
      <c r="E513" t="s">
        <v>3332</v>
      </c>
      <c r="F513" t="s">
        <v>3333</v>
      </c>
      <c r="G513" t="s">
        <v>3334</v>
      </c>
      <c r="H513" t="s">
        <v>3335</v>
      </c>
      <c r="I513" t="s">
        <v>996</v>
      </c>
      <c r="J513" t="s">
        <v>997</v>
      </c>
      <c r="K513" t="s">
        <v>998</v>
      </c>
    </row>
    <row r="514" spans="1:11" x14ac:dyDescent="0.15">
      <c r="A514" t="s">
        <v>3331</v>
      </c>
      <c r="B514" t="s">
        <v>894</v>
      </c>
      <c r="D514" t="s">
        <v>991</v>
      </c>
      <c r="E514" t="s">
        <v>3336</v>
      </c>
      <c r="F514" t="s">
        <v>895</v>
      </c>
      <c r="G514" t="s">
        <v>3337</v>
      </c>
      <c r="H514" t="s">
        <v>893</v>
      </c>
      <c r="I514" t="s">
        <v>996</v>
      </c>
      <c r="J514" t="s">
        <v>997</v>
      </c>
      <c r="K514" t="s">
        <v>998</v>
      </c>
    </row>
    <row r="515" spans="1:11" x14ac:dyDescent="0.15">
      <c r="A515" t="s">
        <v>3338</v>
      </c>
      <c r="B515" t="s">
        <v>3339</v>
      </c>
      <c r="D515" t="s">
        <v>991</v>
      </c>
      <c r="E515" t="s">
        <v>3340</v>
      </c>
      <c r="F515" t="s">
        <v>3341</v>
      </c>
      <c r="G515" t="s">
        <v>3342</v>
      </c>
      <c r="H515" t="s">
        <v>3343</v>
      </c>
      <c r="I515" t="s">
        <v>996</v>
      </c>
      <c r="J515" t="s">
        <v>997</v>
      </c>
      <c r="K515" t="s">
        <v>998</v>
      </c>
    </row>
    <row r="516" spans="1:11" x14ac:dyDescent="0.15">
      <c r="A516" t="s">
        <v>3338</v>
      </c>
      <c r="B516" t="s">
        <v>3339</v>
      </c>
      <c r="D516" t="s">
        <v>991</v>
      </c>
      <c r="E516" t="s">
        <v>3344</v>
      </c>
      <c r="F516" t="s">
        <v>902</v>
      </c>
      <c r="G516" t="s">
        <v>3345</v>
      </c>
      <c r="H516" t="s">
        <v>900</v>
      </c>
      <c r="I516" t="s">
        <v>996</v>
      </c>
      <c r="J516" t="s">
        <v>997</v>
      </c>
      <c r="K516" t="s">
        <v>998</v>
      </c>
    </row>
    <row r="517" spans="1:11" x14ac:dyDescent="0.15">
      <c r="A517" t="s">
        <v>3346</v>
      </c>
      <c r="B517" t="s">
        <v>3347</v>
      </c>
      <c r="D517" t="s">
        <v>991</v>
      </c>
      <c r="E517" t="s">
        <v>3348</v>
      </c>
      <c r="F517" t="s">
        <v>3349</v>
      </c>
      <c r="G517" t="s">
        <v>3350</v>
      </c>
      <c r="H517" t="s">
        <v>3351</v>
      </c>
      <c r="I517" t="s">
        <v>996</v>
      </c>
      <c r="J517" t="s">
        <v>997</v>
      </c>
      <c r="K517" t="s">
        <v>998</v>
      </c>
    </row>
    <row r="518" spans="1:11" x14ac:dyDescent="0.15">
      <c r="A518" t="s">
        <v>3352</v>
      </c>
      <c r="B518" t="s">
        <v>3353</v>
      </c>
      <c r="D518" t="s">
        <v>991</v>
      </c>
      <c r="E518" t="s">
        <v>3354</v>
      </c>
      <c r="F518" t="s">
        <v>3353</v>
      </c>
      <c r="G518" t="s">
        <v>3355</v>
      </c>
      <c r="H518" t="s">
        <v>3356</v>
      </c>
      <c r="I518" t="s">
        <v>996</v>
      </c>
      <c r="J518" t="s">
        <v>997</v>
      </c>
      <c r="K518" t="s">
        <v>998</v>
      </c>
    </row>
    <row r="519" spans="1:11" x14ac:dyDescent="0.15">
      <c r="A519" t="s">
        <v>3357</v>
      </c>
      <c r="B519" t="s">
        <v>3358</v>
      </c>
      <c r="D519" t="s">
        <v>991</v>
      </c>
      <c r="E519" t="s">
        <v>3359</v>
      </c>
      <c r="F519" t="s">
        <v>3360</v>
      </c>
      <c r="G519" t="s">
        <v>3361</v>
      </c>
      <c r="H519" t="s">
        <v>3362</v>
      </c>
      <c r="I519" t="s">
        <v>996</v>
      </c>
      <c r="J519" t="s">
        <v>997</v>
      </c>
      <c r="K519" t="s">
        <v>998</v>
      </c>
    </row>
    <row r="520" spans="1:11" x14ac:dyDescent="0.15">
      <c r="A520" t="s">
        <v>3363</v>
      </c>
      <c r="B520" t="s">
        <v>3364</v>
      </c>
      <c r="D520" t="s">
        <v>991</v>
      </c>
      <c r="E520" t="s">
        <v>3365</v>
      </c>
      <c r="F520" t="s">
        <v>3366</v>
      </c>
      <c r="G520" t="s">
        <v>3367</v>
      </c>
      <c r="H520" t="s">
        <v>3368</v>
      </c>
      <c r="I520" t="s">
        <v>996</v>
      </c>
      <c r="J520" t="s">
        <v>997</v>
      </c>
      <c r="K520" t="s">
        <v>998</v>
      </c>
    </row>
    <row r="521" spans="1:11" x14ac:dyDescent="0.15">
      <c r="A521" t="s">
        <v>3369</v>
      </c>
      <c r="B521" t="s">
        <v>3370</v>
      </c>
      <c r="D521" t="s">
        <v>991</v>
      </c>
      <c r="E521" t="s">
        <v>3371</v>
      </c>
      <c r="F521" t="s">
        <v>3372</v>
      </c>
      <c r="G521" t="s">
        <v>3373</v>
      </c>
      <c r="H521" t="s">
        <v>3374</v>
      </c>
      <c r="I521" t="s">
        <v>996</v>
      </c>
      <c r="J521" t="s">
        <v>997</v>
      </c>
      <c r="K521" t="s">
        <v>998</v>
      </c>
    </row>
    <row r="522" spans="1:11" x14ac:dyDescent="0.15">
      <c r="A522" t="s">
        <v>3375</v>
      </c>
      <c r="B522" t="s">
        <v>3376</v>
      </c>
      <c r="D522" t="s">
        <v>991</v>
      </c>
      <c r="E522" t="s">
        <v>3377</v>
      </c>
      <c r="F522" t="s">
        <v>3378</v>
      </c>
      <c r="G522" t="s">
        <v>3379</v>
      </c>
      <c r="H522" t="s">
        <v>3380</v>
      </c>
      <c r="I522" t="s">
        <v>996</v>
      </c>
      <c r="J522" t="s">
        <v>997</v>
      </c>
      <c r="K522" t="s">
        <v>998</v>
      </c>
    </row>
    <row r="523" spans="1:11" x14ac:dyDescent="0.15">
      <c r="A523" t="s">
        <v>3381</v>
      </c>
      <c r="B523" t="s">
        <v>3382</v>
      </c>
      <c r="D523" t="s">
        <v>991</v>
      </c>
      <c r="E523" t="s">
        <v>3383</v>
      </c>
      <c r="F523" t="s">
        <v>3384</v>
      </c>
      <c r="G523" t="s">
        <v>3385</v>
      </c>
      <c r="H523" t="s">
        <v>3386</v>
      </c>
      <c r="I523" t="s">
        <v>996</v>
      </c>
      <c r="J523" t="s">
        <v>997</v>
      </c>
      <c r="K523" t="s">
        <v>998</v>
      </c>
    </row>
    <row r="524" spans="1:11" x14ac:dyDescent="0.15">
      <c r="A524" t="s">
        <v>3381</v>
      </c>
      <c r="B524" t="s">
        <v>3382</v>
      </c>
      <c r="D524" t="s">
        <v>991</v>
      </c>
      <c r="E524" t="s">
        <v>3387</v>
      </c>
      <c r="F524" t="s">
        <v>3388</v>
      </c>
      <c r="G524" t="s">
        <v>3389</v>
      </c>
      <c r="H524" t="s">
        <v>3390</v>
      </c>
      <c r="I524" t="s">
        <v>996</v>
      </c>
      <c r="J524" t="s">
        <v>997</v>
      </c>
      <c r="K524" t="s">
        <v>998</v>
      </c>
    </row>
    <row r="525" spans="1:11" x14ac:dyDescent="0.15">
      <c r="A525" t="s">
        <v>3391</v>
      </c>
      <c r="B525" t="s">
        <v>3392</v>
      </c>
      <c r="D525" t="s">
        <v>991</v>
      </c>
      <c r="E525" t="s">
        <v>3393</v>
      </c>
      <c r="F525" t="s">
        <v>691</v>
      </c>
      <c r="G525" t="s">
        <v>3394</v>
      </c>
      <c r="H525" t="s">
        <v>689</v>
      </c>
      <c r="I525" t="s">
        <v>996</v>
      </c>
      <c r="J525" t="s">
        <v>997</v>
      </c>
      <c r="K525" t="s">
        <v>998</v>
      </c>
    </row>
    <row r="526" spans="1:11" x14ac:dyDescent="0.15">
      <c r="A526" t="s">
        <v>3391</v>
      </c>
      <c r="B526" t="s">
        <v>3392</v>
      </c>
      <c r="D526" t="s">
        <v>991</v>
      </c>
      <c r="E526" t="s">
        <v>3395</v>
      </c>
      <c r="F526" t="s">
        <v>694</v>
      </c>
      <c r="G526" t="s">
        <v>3396</v>
      </c>
      <c r="H526" t="s">
        <v>692</v>
      </c>
      <c r="I526" t="s">
        <v>996</v>
      </c>
      <c r="J526" t="s">
        <v>997</v>
      </c>
      <c r="K526" t="s">
        <v>998</v>
      </c>
    </row>
    <row r="527" spans="1:11" x14ac:dyDescent="0.15">
      <c r="A527" t="s">
        <v>3391</v>
      </c>
      <c r="B527" t="s">
        <v>3392</v>
      </c>
      <c r="D527" t="s">
        <v>991</v>
      </c>
      <c r="E527" t="s">
        <v>3397</v>
      </c>
      <c r="F527" t="s">
        <v>697</v>
      </c>
      <c r="G527" t="s">
        <v>3398</v>
      </c>
      <c r="H527" t="s">
        <v>695</v>
      </c>
      <c r="I527" t="s">
        <v>996</v>
      </c>
      <c r="J527" t="s">
        <v>997</v>
      </c>
      <c r="K527" t="s">
        <v>998</v>
      </c>
    </row>
    <row r="528" spans="1:11" x14ac:dyDescent="0.15">
      <c r="A528" t="s">
        <v>3391</v>
      </c>
      <c r="B528" t="s">
        <v>3392</v>
      </c>
      <c r="D528" t="s">
        <v>991</v>
      </c>
      <c r="E528" t="s">
        <v>3399</v>
      </c>
      <c r="F528" t="s">
        <v>701</v>
      </c>
      <c r="G528" t="s">
        <v>3400</v>
      </c>
      <c r="H528" t="s">
        <v>699</v>
      </c>
      <c r="I528" t="s">
        <v>996</v>
      </c>
      <c r="J528" t="s">
        <v>997</v>
      </c>
      <c r="K528" t="s">
        <v>998</v>
      </c>
    </row>
    <row r="529" spans="1:11" x14ac:dyDescent="0.15">
      <c r="A529" t="s">
        <v>3401</v>
      </c>
      <c r="B529" t="s">
        <v>3402</v>
      </c>
      <c r="D529" t="s">
        <v>991</v>
      </c>
      <c r="E529" t="s">
        <v>3403</v>
      </c>
      <c r="F529" t="s">
        <v>3404</v>
      </c>
      <c r="G529" t="s">
        <v>3405</v>
      </c>
      <c r="H529" t="s">
        <v>3406</v>
      </c>
      <c r="I529" t="s">
        <v>996</v>
      </c>
      <c r="J529" t="s">
        <v>997</v>
      </c>
      <c r="K529" t="s">
        <v>998</v>
      </c>
    </row>
    <row r="530" spans="1:11" x14ac:dyDescent="0.15">
      <c r="A530" t="s">
        <v>3401</v>
      </c>
      <c r="B530" t="s">
        <v>3402</v>
      </c>
      <c r="D530" t="s">
        <v>991</v>
      </c>
      <c r="E530" t="s">
        <v>3407</v>
      </c>
      <c r="F530" t="s">
        <v>3408</v>
      </c>
      <c r="G530" t="s">
        <v>3409</v>
      </c>
      <c r="H530" t="s">
        <v>3410</v>
      </c>
      <c r="I530" t="s">
        <v>996</v>
      </c>
      <c r="J530" t="s">
        <v>997</v>
      </c>
      <c r="K530" t="s">
        <v>998</v>
      </c>
    </row>
    <row r="531" spans="1:11" x14ac:dyDescent="0.15">
      <c r="A531" t="s">
        <v>3401</v>
      </c>
      <c r="B531" t="s">
        <v>3402</v>
      </c>
      <c r="D531" t="s">
        <v>991</v>
      </c>
      <c r="E531" t="s">
        <v>3411</v>
      </c>
      <c r="F531" t="s">
        <v>3412</v>
      </c>
      <c r="G531" t="s">
        <v>3413</v>
      </c>
      <c r="H531" t="s">
        <v>3414</v>
      </c>
      <c r="I531" t="s">
        <v>996</v>
      </c>
      <c r="J531" t="s">
        <v>997</v>
      </c>
      <c r="K531" t="s">
        <v>998</v>
      </c>
    </row>
    <row r="532" spans="1:11" x14ac:dyDescent="0.15">
      <c r="A532" t="s">
        <v>3415</v>
      </c>
      <c r="B532" t="s">
        <v>3416</v>
      </c>
      <c r="D532" t="s">
        <v>991</v>
      </c>
      <c r="E532" t="s">
        <v>3417</v>
      </c>
      <c r="F532" t="s">
        <v>592</v>
      </c>
      <c r="G532" t="s">
        <v>3418</v>
      </c>
      <c r="H532" t="s">
        <v>590</v>
      </c>
      <c r="I532" t="s">
        <v>996</v>
      </c>
      <c r="J532" t="s">
        <v>997</v>
      </c>
      <c r="K532" t="s">
        <v>998</v>
      </c>
    </row>
    <row r="533" spans="1:11" x14ac:dyDescent="0.15">
      <c r="A533" t="s">
        <v>3415</v>
      </c>
      <c r="B533" t="s">
        <v>3416</v>
      </c>
      <c r="D533" t="s">
        <v>991</v>
      </c>
      <c r="E533" t="s">
        <v>3419</v>
      </c>
      <c r="F533" t="s">
        <v>595</v>
      </c>
      <c r="G533" t="s">
        <v>3420</v>
      </c>
      <c r="H533" t="s">
        <v>593</v>
      </c>
      <c r="I533" t="s">
        <v>996</v>
      </c>
      <c r="J533" t="s">
        <v>997</v>
      </c>
      <c r="K533" t="s">
        <v>998</v>
      </c>
    </row>
    <row r="534" spans="1:11" x14ac:dyDescent="0.15">
      <c r="A534" t="s">
        <v>3421</v>
      </c>
      <c r="B534" t="s">
        <v>3422</v>
      </c>
      <c r="C534" t="s">
        <v>3423</v>
      </c>
      <c r="D534" t="s">
        <v>991</v>
      </c>
      <c r="E534" t="s">
        <v>3424</v>
      </c>
      <c r="F534" t="s">
        <v>3425</v>
      </c>
      <c r="G534" t="s">
        <v>283</v>
      </c>
      <c r="H534" t="s">
        <v>282</v>
      </c>
      <c r="I534" t="s">
        <v>996</v>
      </c>
      <c r="J534" t="s">
        <v>997</v>
      </c>
      <c r="K534" t="s">
        <v>998</v>
      </c>
    </row>
    <row r="535" spans="1:11" x14ac:dyDescent="0.15">
      <c r="A535" t="s">
        <v>3426</v>
      </c>
      <c r="B535" t="s">
        <v>3427</v>
      </c>
      <c r="D535" t="s">
        <v>991</v>
      </c>
      <c r="E535" t="s">
        <v>3428</v>
      </c>
      <c r="F535" t="s">
        <v>3429</v>
      </c>
      <c r="G535" t="s">
        <v>3430</v>
      </c>
      <c r="H535" t="s">
        <v>3431</v>
      </c>
      <c r="I535" t="s">
        <v>996</v>
      </c>
      <c r="J535" t="s">
        <v>997</v>
      </c>
      <c r="K535" t="s">
        <v>998</v>
      </c>
    </row>
    <row r="536" spans="1:11" x14ac:dyDescent="0.15">
      <c r="A536" t="s">
        <v>3426</v>
      </c>
      <c r="B536" t="s">
        <v>3427</v>
      </c>
      <c r="D536" t="s">
        <v>991</v>
      </c>
      <c r="E536" t="s">
        <v>3432</v>
      </c>
      <c r="F536" t="s">
        <v>3433</v>
      </c>
      <c r="G536" t="s">
        <v>3434</v>
      </c>
      <c r="H536" t="s">
        <v>3435</v>
      </c>
      <c r="I536" t="s">
        <v>996</v>
      </c>
      <c r="J536" t="s">
        <v>997</v>
      </c>
      <c r="K536" t="s">
        <v>998</v>
      </c>
    </row>
    <row r="537" spans="1:11" x14ac:dyDescent="0.15">
      <c r="A537" t="s">
        <v>3436</v>
      </c>
      <c r="B537" t="s">
        <v>3437</v>
      </c>
      <c r="D537" t="s">
        <v>991</v>
      </c>
      <c r="E537" t="s">
        <v>3438</v>
      </c>
      <c r="F537" t="s">
        <v>3439</v>
      </c>
      <c r="G537" t="s">
        <v>3440</v>
      </c>
      <c r="H537" t="s">
        <v>3441</v>
      </c>
      <c r="I537" t="s">
        <v>996</v>
      </c>
      <c r="J537" t="s">
        <v>997</v>
      </c>
      <c r="K537" t="s">
        <v>998</v>
      </c>
    </row>
    <row r="538" spans="1:11" x14ac:dyDescent="0.15">
      <c r="A538" t="s">
        <v>3442</v>
      </c>
      <c r="B538" t="s">
        <v>3443</v>
      </c>
      <c r="D538" t="s">
        <v>991</v>
      </c>
      <c r="E538" t="s">
        <v>3444</v>
      </c>
      <c r="F538" t="s">
        <v>3445</v>
      </c>
      <c r="G538" t="s">
        <v>3446</v>
      </c>
      <c r="H538" t="s">
        <v>3447</v>
      </c>
      <c r="I538" t="s">
        <v>996</v>
      </c>
      <c r="J538" t="s">
        <v>997</v>
      </c>
      <c r="K538" t="s">
        <v>998</v>
      </c>
    </row>
    <row r="539" spans="1:11" x14ac:dyDescent="0.15">
      <c r="A539" t="s">
        <v>3442</v>
      </c>
      <c r="B539" t="s">
        <v>3443</v>
      </c>
      <c r="D539" t="s">
        <v>991</v>
      </c>
      <c r="E539" t="s">
        <v>3448</v>
      </c>
      <c r="F539" t="s">
        <v>3449</v>
      </c>
      <c r="G539" t="s">
        <v>3450</v>
      </c>
      <c r="H539" t="s">
        <v>3451</v>
      </c>
      <c r="I539" t="s">
        <v>996</v>
      </c>
      <c r="J539" t="s">
        <v>997</v>
      </c>
      <c r="K539" t="s">
        <v>998</v>
      </c>
    </row>
    <row r="540" spans="1:11" x14ac:dyDescent="0.15">
      <c r="A540" t="s">
        <v>3452</v>
      </c>
      <c r="B540" t="s">
        <v>3453</v>
      </c>
      <c r="D540" t="s">
        <v>991</v>
      </c>
      <c r="E540" t="s">
        <v>3454</v>
      </c>
      <c r="F540" t="s">
        <v>3455</v>
      </c>
      <c r="G540" t="s">
        <v>3456</v>
      </c>
      <c r="H540" t="s">
        <v>3457</v>
      </c>
      <c r="I540" t="s">
        <v>996</v>
      </c>
      <c r="J540" t="s">
        <v>997</v>
      </c>
      <c r="K540" t="s">
        <v>998</v>
      </c>
    </row>
    <row r="541" spans="1:11" x14ac:dyDescent="0.15">
      <c r="A541" t="s">
        <v>3452</v>
      </c>
      <c r="B541" t="s">
        <v>3453</v>
      </c>
      <c r="D541" t="s">
        <v>991</v>
      </c>
      <c r="E541" t="s">
        <v>3458</v>
      </c>
      <c r="F541" t="s">
        <v>608</v>
      </c>
      <c r="G541" t="s">
        <v>3459</v>
      </c>
      <c r="H541" t="s">
        <v>606</v>
      </c>
      <c r="I541" t="s">
        <v>996</v>
      </c>
      <c r="J541" t="s">
        <v>997</v>
      </c>
      <c r="K541" t="s">
        <v>998</v>
      </c>
    </row>
    <row r="542" spans="1:11" x14ac:dyDescent="0.15">
      <c r="A542" t="s">
        <v>3460</v>
      </c>
      <c r="B542" t="s">
        <v>3461</v>
      </c>
      <c r="D542" t="s">
        <v>991</v>
      </c>
      <c r="E542" t="s">
        <v>3462</v>
      </c>
      <c r="F542" t="s">
        <v>3463</v>
      </c>
      <c r="G542" t="s">
        <v>3464</v>
      </c>
      <c r="H542" t="s">
        <v>3465</v>
      </c>
      <c r="I542" t="s">
        <v>996</v>
      </c>
      <c r="J542" t="s">
        <v>997</v>
      </c>
      <c r="K542" t="s">
        <v>998</v>
      </c>
    </row>
    <row r="543" spans="1:11" x14ac:dyDescent="0.15">
      <c r="A543" t="s">
        <v>3466</v>
      </c>
      <c r="B543" t="s">
        <v>3467</v>
      </c>
      <c r="D543" t="s">
        <v>991</v>
      </c>
      <c r="E543" t="s">
        <v>3468</v>
      </c>
      <c r="F543" t="s">
        <v>3469</v>
      </c>
      <c r="G543" t="s">
        <v>3470</v>
      </c>
      <c r="H543" t="s">
        <v>3471</v>
      </c>
      <c r="I543" t="s">
        <v>996</v>
      </c>
      <c r="J543" t="s">
        <v>997</v>
      </c>
      <c r="K543" t="s">
        <v>998</v>
      </c>
    </row>
    <row r="544" spans="1:11" x14ac:dyDescent="0.15">
      <c r="A544" t="s">
        <v>3466</v>
      </c>
      <c r="B544" t="s">
        <v>3467</v>
      </c>
      <c r="D544" t="s">
        <v>991</v>
      </c>
      <c r="E544" t="s">
        <v>3472</v>
      </c>
      <c r="F544" t="s">
        <v>3473</v>
      </c>
      <c r="G544" t="s">
        <v>3474</v>
      </c>
      <c r="H544" t="s">
        <v>3475</v>
      </c>
      <c r="I544" t="s">
        <v>996</v>
      </c>
      <c r="J544" t="s">
        <v>997</v>
      </c>
      <c r="K544" t="s">
        <v>998</v>
      </c>
    </row>
    <row r="545" spans="1:11" x14ac:dyDescent="0.15">
      <c r="A545" t="s">
        <v>3476</v>
      </c>
      <c r="B545" t="s">
        <v>3477</v>
      </c>
      <c r="D545" t="s">
        <v>991</v>
      </c>
      <c r="E545" t="s">
        <v>3478</v>
      </c>
      <c r="F545" t="s">
        <v>3479</v>
      </c>
      <c r="G545" t="s">
        <v>3480</v>
      </c>
      <c r="H545" t="s">
        <v>3481</v>
      </c>
      <c r="I545" t="s">
        <v>996</v>
      </c>
      <c r="J545" t="s">
        <v>997</v>
      </c>
      <c r="K545" t="s">
        <v>998</v>
      </c>
    </row>
    <row r="546" spans="1:11" x14ac:dyDescent="0.15">
      <c r="A546" t="s">
        <v>3482</v>
      </c>
      <c r="B546" t="s">
        <v>3483</v>
      </c>
      <c r="D546" t="s">
        <v>991</v>
      </c>
      <c r="E546" t="s">
        <v>3484</v>
      </c>
      <c r="F546" t="s">
        <v>3485</v>
      </c>
      <c r="G546" t="s">
        <v>3486</v>
      </c>
      <c r="H546" t="s">
        <v>3487</v>
      </c>
      <c r="I546" t="s">
        <v>996</v>
      </c>
      <c r="J546" t="s">
        <v>997</v>
      </c>
      <c r="K546" t="s">
        <v>998</v>
      </c>
    </row>
    <row r="547" spans="1:11" x14ac:dyDescent="0.15">
      <c r="A547" t="s">
        <v>3488</v>
      </c>
      <c r="B547" t="s">
        <v>3489</v>
      </c>
      <c r="C547" t="s">
        <v>3490</v>
      </c>
      <c r="D547" t="s">
        <v>991</v>
      </c>
      <c r="E547" t="s">
        <v>3491</v>
      </c>
      <c r="F547" t="s">
        <v>3492</v>
      </c>
      <c r="G547" t="s">
        <v>3493</v>
      </c>
      <c r="H547" t="s">
        <v>3494</v>
      </c>
      <c r="I547" t="s">
        <v>996</v>
      </c>
      <c r="J547" t="s">
        <v>997</v>
      </c>
      <c r="K547" t="s">
        <v>998</v>
      </c>
    </row>
    <row r="548" spans="1:11" x14ac:dyDescent="0.15">
      <c r="A548" t="s">
        <v>3488</v>
      </c>
      <c r="B548" t="s">
        <v>3489</v>
      </c>
      <c r="C548" t="s">
        <v>3490</v>
      </c>
      <c r="D548" t="s">
        <v>991</v>
      </c>
      <c r="E548" t="s">
        <v>3495</v>
      </c>
      <c r="F548" t="s">
        <v>3496</v>
      </c>
      <c r="G548" t="s">
        <v>3497</v>
      </c>
      <c r="H548" t="s">
        <v>3498</v>
      </c>
      <c r="I548" t="s">
        <v>996</v>
      </c>
      <c r="J548" t="s">
        <v>997</v>
      </c>
      <c r="K548" t="s">
        <v>998</v>
      </c>
    </row>
    <row r="549" spans="1:11" x14ac:dyDescent="0.15">
      <c r="A549" t="s">
        <v>3499</v>
      </c>
      <c r="B549" t="s">
        <v>3500</v>
      </c>
      <c r="C549" t="s">
        <v>3501</v>
      </c>
      <c r="D549" t="s">
        <v>991</v>
      </c>
      <c r="E549" t="s">
        <v>3502</v>
      </c>
      <c r="F549" t="s">
        <v>3500</v>
      </c>
      <c r="G549" t="s">
        <v>3503</v>
      </c>
      <c r="H549" t="s">
        <v>3504</v>
      </c>
      <c r="I549" t="s">
        <v>996</v>
      </c>
      <c r="J549" t="s">
        <v>997</v>
      </c>
      <c r="K549" t="s">
        <v>998</v>
      </c>
    </row>
    <row r="550" spans="1:11" x14ac:dyDescent="0.15">
      <c r="A550" t="s">
        <v>3499</v>
      </c>
      <c r="B550" t="s">
        <v>3500</v>
      </c>
      <c r="C550" t="s">
        <v>3501</v>
      </c>
      <c r="D550" t="s">
        <v>991</v>
      </c>
      <c r="E550" t="s">
        <v>3505</v>
      </c>
      <c r="F550" t="s">
        <v>3506</v>
      </c>
      <c r="G550" t="s">
        <v>3507</v>
      </c>
      <c r="H550" t="s">
        <v>3508</v>
      </c>
      <c r="I550" t="s">
        <v>996</v>
      </c>
      <c r="J550" t="s">
        <v>997</v>
      </c>
      <c r="K550" t="s">
        <v>998</v>
      </c>
    </row>
    <row r="551" spans="1:11" x14ac:dyDescent="0.15">
      <c r="A551" t="s">
        <v>3509</v>
      </c>
      <c r="B551" t="s">
        <v>3510</v>
      </c>
      <c r="D551" t="s">
        <v>991</v>
      </c>
      <c r="E551" t="s">
        <v>3511</v>
      </c>
      <c r="F551" t="s">
        <v>3512</v>
      </c>
      <c r="G551" t="s">
        <v>3513</v>
      </c>
      <c r="H551" t="s">
        <v>3514</v>
      </c>
      <c r="I551" t="s">
        <v>996</v>
      </c>
      <c r="J551" t="s">
        <v>997</v>
      </c>
      <c r="K551" t="s">
        <v>998</v>
      </c>
    </row>
    <row r="552" spans="1:11" x14ac:dyDescent="0.15">
      <c r="A552" t="s">
        <v>3515</v>
      </c>
      <c r="B552" t="s">
        <v>3516</v>
      </c>
      <c r="D552" t="s">
        <v>991</v>
      </c>
      <c r="E552" t="s">
        <v>3517</v>
      </c>
      <c r="F552" t="s">
        <v>3518</v>
      </c>
      <c r="G552" t="s">
        <v>3519</v>
      </c>
      <c r="H552" t="s">
        <v>3520</v>
      </c>
      <c r="I552" t="s">
        <v>996</v>
      </c>
      <c r="J552" t="s">
        <v>997</v>
      </c>
      <c r="K552" t="s">
        <v>998</v>
      </c>
    </row>
    <row r="553" spans="1:11" x14ac:dyDescent="0.15">
      <c r="A553" t="s">
        <v>3521</v>
      </c>
      <c r="B553" t="s">
        <v>3522</v>
      </c>
      <c r="C553" t="s">
        <v>3523</v>
      </c>
      <c r="D553" t="s">
        <v>991</v>
      </c>
      <c r="E553" t="s">
        <v>3524</v>
      </c>
      <c r="F553" t="s">
        <v>3525</v>
      </c>
      <c r="G553" t="s">
        <v>3526</v>
      </c>
      <c r="H553" t="s">
        <v>3527</v>
      </c>
      <c r="I553" t="s">
        <v>996</v>
      </c>
      <c r="J553" t="s">
        <v>997</v>
      </c>
      <c r="K553" t="s">
        <v>998</v>
      </c>
    </row>
    <row r="554" spans="1:11" x14ac:dyDescent="0.15">
      <c r="A554" t="s">
        <v>3528</v>
      </c>
      <c r="B554" t="s">
        <v>3529</v>
      </c>
      <c r="D554" t="s">
        <v>991</v>
      </c>
      <c r="E554" t="s">
        <v>3530</v>
      </c>
      <c r="F554" t="s">
        <v>3531</v>
      </c>
      <c r="G554" t="s">
        <v>3532</v>
      </c>
      <c r="H554" t="s">
        <v>3533</v>
      </c>
      <c r="I554" t="s">
        <v>996</v>
      </c>
      <c r="J554" t="s">
        <v>997</v>
      </c>
      <c r="K554" t="s">
        <v>998</v>
      </c>
    </row>
    <row r="555" spans="1:11" x14ac:dyDescent="0.15">
      <c r="A555" t="s">
        <v>3534</v>
      </c>
      <c r="B555" t="s">
        <v>3535</v>
      </c>
      <c r="D555" t="s">
        <v>991</v>
      </c>
      <c r="E555" t="s">
        <v>3536</v>
      </c>
      <c r="F555" t="s">
        <v>3537</v>
      </c>
      <c r="G555" t="s">
        <v>3538</v>
      </c>
      <c r="H555" t="s">
        <v>3539</v>
      </c>
      <c r="I555" t="s">
        <v>996</v>
      </c>
      <c r="J555" t="s">
        <v>997</v>
      </c>
      <c r="K555" t="s">
        <v>998</v>
      </c>
    </row>
    <row r="556" spans="1:11" x14ac:dyDescent="0.15">
      <c r="A556" t="s">
        <v>3540</v>
      </c>
      <c r="B556" t="s">
        <v>3541</v>
      </c>
      <c r="D556" t="s">
        <v>991</v>
      </c>
      <c r="E556" t="s">
        <v>3542</v>
      </c>
      <c r="F556" t="s">
        <v>3543</v>
      </c>
      <c r="G556" t="s">
        <v>3544</v>
      </c>
      <c r="H556" t="s">
        <v>3545</v>
      </c>
      <c r="I556" t="s">
        <v>996</v>
      </c>
      <c r="J556" t="s">
        <v>997</v>
      </c>
      <c r="K556" t="s">
        <v>998</v>
      </c>
    </row>
    <row r="557" spans="1:11" x14ac:dyDescent="0.15">
      <c r="A557" t="s">
        <v>3540</v>
      </c>
      <c r="B557" t="s">
        <v>3541</v>
      </c>
      <c r="D557" t="s">
        <v>991</v>
      </c>
      <c r="E557" t="s">
        <v>3546</v>
      </c>
      <c r="F557" t="s">
        <v>3547</v>
      </c>
      <c r="G557" t="s">
        <v>3548</v>
      </c>
      <c r="H557" t="s">
        <v>3549</v>
      </c>
      <c r="I557" t="s">
        <v>996</v>
      </c>
      <c r="J557" t="s">
        <v>997</v>
      </c>
      <c r="K557" t="s">
        <v>998</v>
      </c>
    </row>
    <row r="558" spans="1:11" x14ac:dyDescent="0.15">
      <c r="A558" t="s">
        <v>3550</v>
      </c>
      <c r="B558" t="s">
        <v>3551</v>
      </c>
      <c r="D558" t="s">
        <v>991</v>
      </c>
      <c r="E558" t="s">
        <v>3552</v>
      </c>
      <c r="F558" t="s">
        <v>3553</v>
      </c>
      <c r="G558" t="s">
        <v>3554</v>
      </c>
      <c r="H558" t="s">
        <v>3555</v>
      </c>
      <c r="I558" t="s">
        <v>996</v>
      </c>
      <c r="J558" t="s">
        <v>997</v>
      </c>
      <c r="K558" t="s">
        <v>998</v>
      </c>
    </row>
    <row r="559" spans="1:11" x14ac:dyDescent="0.15">
      <c r="A559" t="s">
        <v>3550</v>
      </c>
      <c r="B559" t="s">
        <v>3551</v>
      </c>
      <c r="D559" t="s">
        <v>991</v>
      </c>
      <c r="E559" t="s">
        <v>3556</v>
      </c>
      <c r="F559" t="s">
        <v>3557</v>
      </c>
      <c r="G559" t="s">
        <v>3558</v>
      </c>
      <c r="H559" t="s">
        <v>3559</v>
      </c>
      <c r="I559" t="s">
        <v>996</v>
      </c>
      <c r="J559" t="s">
        <v>997</v>
      </c>
      <c r="K559" t="s">
        <v>998</v>
      </c>
    </row>
    <row r="560" spans="1:11" x14ac:dyDescent="0.15">
      <c r="A560" t="s">
        <v>3560</v>
      </c>
      <c r="B560" t="s">
        <v>3561</v>
      </c>
      <c r="D560" t="s">
        <v>991</v>
      </c>
      <c r="E560" t="s">
        <v>3562</v>
      </c>
      <c r="F560" t="s">
        <v>3563</v>
      </c>
      <c r="G560" t="s">
        <v>3564</v>
      </c>
      <c r="H560" t="s">
        <v>3565</v>
      </c>
      <c r="I560" t="s">
        <v>996</v>
      </c>
      <c r="J560" t="s">
        <v>997</v>
      </c>
      <c r="K560" t="s">
        <v>998</v>
      </c>
    </row>
    <row r="561" spans="1:11" x14ac:dyDescent="0.15">
      <c r="A561" t="s">
        <v>3560</v>
      </c>
      <c r="B561" t="s">
        <v>3561</v>
      </c>
      <c r="D561" t="s">
        <v>991</v>
      </c>
      <c r="E561" t="s">
        <v>3566</v>
      </c>
      <c r="F561" t="s">
        <v>3567</v>
      </c>
      <c r="G561" t="s">
        <v>3568</v>
      </c>
      <c r="H561" t="s">
        <v>3569</v>
      </c>
      <c r="I561" t="s">
        <v>996</v>
      </c>
      <c r="J561" t="s">
        <v>997</v>
      </c>
      <c r="K561" t="s">
        <v>998</v>
      </c>
    </row>
    <row r="562" spans="1:11" x14ac:dyDescent="0.15">
      <c r="A562" t="s">
        <v>3570</v>
      </c>
      <c r="B562" t="s">
        <v>3571</v>
      </c>
      <c r="D562" t="s">
        <v>991</v>
      </c>
      <c r="E562" t="s">
        <v>3572</v>
      </c>
      <c r="F562" t="s">
        <v>3573</v>
      </c>
      <c r="G562" t="s">
        <v>3574</v>
      </c>
      <c r="H562" t="s">
        <v>3575</v>
      </c>
      <c r="I562" t="s">
        <v>996</v>
      </c>
      <c r="J562" t="s">
        <v>997</v>
      </c>
      <c r="K562" t="s">
        <v>998</v>
      </c>
    </row>
    <row r="563" spans="1:11" x14ac:dyDescent="0.15">
      <c r="A563" t="s">
        <v>3570</v>
      </c>
      <c r="B563" t="s">
        <v>3571</v>
      </c>
      <c r="D563" t="s">
        <v>991</v>
      </c>
      <c r="E563" t="s">
        <v>3576</v>
      </c>
      <c r="F563" t="s">
        <v>858</v>
      </c>
      <c r="G563" t="s">
        <v>3577</v>
      </c>
      <c r="H563" t="s">
        <v>856</v>
      </c>
      <c r="I563" t="s">
        <v>996</v>
      </c>
      <c r="J563" t="s">
        <v>997</v>
      </c>
      <c r="K563" t="s">
        <v>998</v>
      </c>
    </row>
  </sheetData>
  <sortState ref="A2:K1890">
    <sortCondition ref="A2:A1048576"/>
  </sortState>
  <phoneticPr fontId="1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66"/>
  <sheetViews>
    <sheetView workbookViewId="0">
      <selection activeCell="B35" sqref="B35"/>
    </sheetView>
  </sheetViews>
  <sheetFormatPr defaultRowHeight="13.5" x14ac:dyDescent="0.15"/>
  <cols>
    <col min="1" max="1" width="39.5" customWidth="1"/>
    <col min="2" max="2" width="117.875" bestFit="1" customWidth="1"/>
  </cols>
  <sheetData>
    <row r="1" spans="1:2" x14ac:dyDescent="0.15">
      <c r="A1" s="6" t="s">
        <v>30</v>
      </c>
    </row>
    <row r="2" spans="1:2" x14ac:dyDescent="0.15">
      <c r="A2" s="6" t="s">
        <v>97</v>
      </c>
    </row>
    <row r="3" spans="1:2" x14ac:dyDescent="0.15">
      <c r="A3" s="7" t="s">
        <v>8</v>
      </c>
      <c r="B3" s="5" t="s">
        <v>31</v>
      </c>
    </row>
    <row r="4" spans="1:2" x14ac:dyDescent="0.15">
      <c r="A4" s="7" t="s">
        <v>9</v>
      </c>
      <c r="B4" s="5" t="s">
        <v>32</v>
      </c>
    </row>
    <row r="5" spans="1:2" x14ac:dyDescent="0.15">
      <c r="A5" s="7" t="s">
        <v>10</v>
      </c>
      <c r="B5" s="5" t="s">
        <v>33</v>
      </c>
    </row>
    <row r="6" spans="1:2" x14ac:dyDescent="0.15">
      <c r="A6" s="7" t="s">
        <v>11</v>
      </c>
      <c r="B6" s="5" t="s">
        <v>34</v>
      </c>
    </row>
    <row r="7" spans="1:2" x14ac:dyDescent="0.15">
      <c r="A7" s="7" t="s">
        <v>12</v>
      </c>
      <c r="B7" s="5" t="s">
        <v>35</v>
      </c>
    </row>
    <row r="8" spans="1:2" x14ac:dyDescent="0.15">
      <c r="A8" s="7" t="s">
        <v>13</v>
      </c>
      <c r="B8" s="5" t="s">
        <v>36</v>
      </c>
    </row>
    <row r="9" spans="1:2" x14ac:dyDescent="0.15">
      <c r="A9" s="8" t="s">
        <v>14</v>
      </c>
      <c r="B9" s="5" t="s">
        <v>37</v>
      </c>
    </row>
    <row r="10" spans="1:2" x14ac:dyDescent="0.15">
      <c r="A10" s="7" t="s">
        <v>15</v>
      </c>
      <c r="B10" s="5" t="s">
        <v>38</v>
      </c>
    </row>
    <row r="11" spans="1:2" x14ac:dyDescent="0.15">
      <c r="A11" s="7" t="s">
        <v>16</v>
      </c>
      <c r="B11" s="5" t="s">
        <v>39</v>
      </c>
    </row>
    <row r="12" spans="1:2" x14ac:dyDescent="0.15">
      <c r="A12" s="7" t="s">
        <v>40</v>
      </c>
      <c r="B12" s="5" t="s">
        <v>41</v>
      </c>
    </row>
    <row r="13" spans="1:2" x14ac:dyDescent="0.15">
      <c r="A13" s="7" t="s">
        <v>18</v>
      </c>
      <c r="B13" s="5" t="s">
        <v>42</v>
      </c>
    </row>
    <row r="14" spans="1:2" x14ac:dyDescent="0.15">
      <c r="A14" s="7" t="s">
        <v>17</v>
      </c>
      <c r="B14" s="5" t="s">
        <v>43</v>
      </c>
    </row>
    <row r="15" spans="1:2" x14ac:dyDescent="0.15">
      <c r="A15" s="7" t="s">
        <v>19</v>
      </c>
      <c r="B15" s="5" t="s">
        <v>44</v>
      </c>
    </row>
    <row r="16" spans="1:2" x14ac:dyDescent="0.15">
      <c r="A16" s="7" t="s">
        <v>23</v>
      </c>
      <c r="B16" s="5" t="s">
        <v>45</v>
      </c>
    </row>
    <row r="17" spans="1:2" x14ac:dyDescent="0.15">
      <c r="A17" s="7" t="s">
        <v>46</v>
      </c>
      <c r="B17" s="5" t="s">
        <v>47</v>
      </c>
    </row>
    <row r="18" spans="1:2" x14ac:dyDescent="0.15">
      <c r="A18" s="7" t="s">
        <v>113</v>
      </c>
      <c r="B18" s="5" t="s">
        <v>114</v>
      </c>
    </row>
    <row r="19" spans="1:2" x14ac:dyDescent="0.15">
      <c r="A19" s="7" t="s">
        <v>48</v>
      </c>
      <c r="B19" s="5" t="s">
        <v>121</v>
      </c>
    </row>
    <row r="20" spans="1:2" x14ac:dyDescent="0.15">
      <c r="A20" s="7" t="s">
        <v>49</v>
      </c>
      <c r="B20" s="5" t="s">
        <v>121</v>
      </c>
    </row>
    <row r="21" spans="1:2" x14ac:dyDescent="0.15">
      <c r="A21" s="7" t="s">
        <v>50</v>
      </c>
      <c r="B21" s="5" t="s">
        <v>121</v>
      </c>
    </row>
    <row r="22" spans="1:2" x14ac:dyDescent="0.15">
      <c r="A22" s="7" t="s">
        <v>51</v>
      </c>
      <c r="B22" s="5" t="s">
        <v>121</v>
      </c>
    </row>
    <row r="23" spans="1:2" x14ac:dyDescent="0.15">
      <c r="A23" s="7" t="s">
        <v>79</v>
      </c>
      <c r="B23" s="5" t="s">
        <v>121</v>
      </c>
    </row>
    <row r="24" spans="1:2" x14ac:dyDescent="0.15">
      <c r="A24" s="7" t="s">
        <v>52</v>
      </c>
      <c r="B24" s="5" t="s">
        <v>53</v>
      </c>
    </row>
    <row r="25" spans="1:2" x14ac:dyDescent="0.15">
      <c r="A25" s="7" t="s">
        <v>54</v>
      </c>
      <c r="B25" s="5" t="s">
        <v>55</v>
      </c>
    </row>
    <row r="26" spans="1:2" x14ac:dyDescent="0.15">
      <c r="A26" s="7" t="s">
        <v>56</v>
      </c>
      <c r="B26" s="5" t="s">
        <v>57</v>
      </c>
    </row>
    <row r="27" spans="1:2" x14ac:dyDescent="0.15">
      <c r="A27" s="7" t="s">
        <v>58</v>
      </c>
      <c r="B27" s="5" t="s">
        <v>59</v>
      </c>
    </row>
    <row r="28" spans="1:2" x14ac:dyDescent="0.15">
      <c r="A28" s="7" t="s">
        <v>20</v>
      </c>
      <c r="B28" t="s">
        <v>60</v>
      </c>
    </row>
    <row r="29" spans="1:2" x14ac:dyDescent="0.15">
      <c r="A29" s="7" t="s">
        <v>61</v>
      </c>
      <c r="B29" s="5" t="s">
        <v>62</v>
      </c>
    </row>
    <row r="30" spans="1:2" x14ac:dyDescent="0.15">
      <c r="A30" s="7" t="s">
        <v>3</v>
      </c>
      <c r="B30" t="s">
        <v>63</v>
      </c>
    </row>
    <row r="31" spans="1:2" x14ac:dyDescent="0.15">
      <c r="A31" s="7" t="s">
        <v>21</v>
      </c>
      <c r="B31" s="5" t="s">
        <v>117</v>
      </c>
    </row>
    <row r="32" spans="1:2" x14ac:dyDescent="0.15">
      <c r="A32" s="7" t="s">
        <v>22</v>
      </c>
      <c r="B32" s="5" t="s">
        <v>64</v>
      </c>
    </row>
    <row r="33" spans="1:2" x14ac:dyDescent="0.15">
      <c r="A33" s="7" t="s">
        <v>65</v>
      </c>
      <c r="B33" t="s">
        <v>66</v>
      </c>
    </row>
    <row r="34" spans="1:2" x14ac:dyDescent="0.15">
      <c r="A34" s="7"/>
    </row>
    <row r="35" spans="1:2" x14ac:dyDescent="0.15">
      <c r="A35" s="6" t="s">
        <v>96</v>
      </c>
    </row>
    <row r="36" spans="1:2" x14ac:dyDescent="0.15">
      <c r="A36" s="7" t="s">
        <v>8</v>
      </c>
      <c r="B36" s="5" t="s">
        <v>31</v>
      </c>
    </row>
    <row r="37" spans="1:2" x14ac:dyDescent="0.15">
      <c r="A37" s="7" t="s">
        <v>9</v>
      </c>
      <c r="B37" s="5" t="s">
        <v>32</v>
      </c>
    </row>
    <row r="38" spans="1:2" x14ac:dyDescent="0.15">
      <c r="A38" s="7" t="s">
        <v>10</v>
      </c>
      <c r="B38" s="5" t="s">
        <v>33</v>
      </c>
    </row>
    <row r="39" spans="1:2" x14ac:dyDescent="0.15">
      <c r="A39" s="7" t="s">
        <v>11</v>
      </c>
      <c r="B39" s="5" t="s">
        <v>34</v>
      </c>
    </row>
    <row r="40" spans="1:2" x14ac:dyDescent="0.15">
      <c r="A40" s="7" t="s">
        <v>12</v>
      </c>
      <c r="B40" s="5" t="s">
        <v>35</v>
      </c>
    </row>
    <row r="41" spans="1:2" x14ac:dyDescent="0.15">
      <c r="A41" s="7" t="s">
        <v>13</v>
      </c>
      <c r="B41" s="5" t="s">
        <v>36</v>
      </c>
    </row>
    <row r="42" spans="1:2" x14ac:dyDescent="0.15">
      <c r="A42" s="8" t="s">
        <v>14</v>
      </c>
      <c r="B42" s="5" t="s">
        <v>37</v>
      </c>
    </row>
    <row r="43" spans="1:2" x14ac:dyDescent="0.15">
      <c r="A43" s="7" t="s">
        <v>15</v>
      </c>
      <c r="B43" s="5" t="s">
        <v>38</v>
      </c>
    </row>
    <row r="44" spans="1:2" x14ac:dyDescent="0.15">
      <c r="A44" s="7" t="s">
        <v>16</v>
      </c>
      <c r="B44" s="5" t="s">
        <v>39</v>
      </c>
    </row>
    <row r="45" spans="1:2" x14ac:dyDescent="0.15">
      <c r="A45" s="7" t="s">
        <v>80</v>
      </c>
      <c r="B45" s="5" t="s">
        <v>41</v>
      </c>
    </row>
    <row r="46" spans="1:2" x14ac:dyDescent="0.15">
      <c r="A46" s="7" t="s">
        <v>81</v>
      </c>
      <c r="B46" s="5" t="s">
        <v>86</v>
      </c>
    </row>
    <row r="47" spans="1:2" x14ac:dyDescent="0.15">
      <c r="A47" s="7" t="s">
        <v>68</v>
      </c>
      <c r="B47" s="5" t="s">
        <v>85</v>
      </c>
    </row>
    <row r="48" spans="1:2" x14ac:dyDescent="0.15">
      <c r="A48" s="7" t="s">
        <v>67</v>
      </c>
      <c r="B48" s="5" t="s">
        <v>87</v>
      </c>
    </row>
    <row r="49" spans="1:2" x14ac:dyDescent="0.15">
      <c r="A49" s="7" t="s">
        <v>69</v>
      </c>
      <c r="B49" s="5" t="s">
        <v>88</v>
      </c>
    </row>
    <row r="50" spans="1:2" x14ac:dyDescent="0.15">
      <c r="A50" s="7" t="s">
        <v>70</v>
      </c>
      <c r="B50" s="5" t="s">
        <v>89</v>
      </c>
    </row>
    <row r="51" spans="1:2" x14ac:dyDescent="0.15">
      <c r="A51" s="7" t="s">
        <v>17</v>
      </c>
      <c r="B51" s="5" t="s">
        <v>90</v>
      </c>
    </row>
    <row r="52" spans="1:2" x14ac:dyDescent="0.15">
      <c r="A52" s="7" t="s">
        <v>23</v>
      </c>
      <c r="B52" s="5" t="s">
        <v>45</v>
      </c>
    </row>
    <row r="53" spans="1:2" x14ac:dyDescent="0.15">
      <c r="A53" s="7" t="s">
        <v>71</v>
      </c>
      <c r="B53" s="5" t="s">
        <v>47</v>
      </c>
    </row>
    <row r="54" spans="1:2" x14ac:dyDescent="0.15">
      <c r="A54" s="7" t="s">
        <v>82</v>
      </c>
      <c r="B54" s="5" t="s">
        <v>91</v>
      </c>
    </row>
    <row r="55" spans="1:2" x14ac:dyDescent="0.15">
      <c r="A55" s="7" t="s">
        <v>72</v>
      </c>
      <c r="B55" s="5" t="s">
        <v>92</v>
      </c>
    </row>
    <row r="56" spans="1:2" x14ac:dyDescent="0.15">
      <c r="A56" s="7" t="s">
        <v>73</v>
      </c>
      <c r="B56" s="5" t="s">
        <v>93</v>
      </c>
    </row>
    <row r="57" spans="1:2" x14ac:dyDescent="0.15">
      <c r="A57" s="7" t="s">
        <v>74</v>
      </c>
      <c r="B57" s="5" t="s">
        <v>94</v>
      </c>
    </row>
    <row r="58" spans="1:2" x14ac:dyDescent="0.15">
      <c r="A58" s="7" t="s">
        <v>98</v>
      </c>
      <c r="B58" s="5" t="s">
        <v>100</v>
      </c>
    </row>
    <row r="59" spans="1:2" x14ac:dyDescent="0.15">
      <c r="A59" s="7" t="s">
        <v>99</v>
      </c>
      <c r="B59" s="5" t="s">
        <v>101</v>
      </c>
    </row>
    <row r="60" spans="1:2" x14ac:dyDescent="0.15">
      <c r="A60" s="7" t="s">
        <v>75</v>
      </c>
      <c r="B60" s="5" t="s">
        <v>55</v>
      </c>
    </row>
    <row r="61" spans="1:2" x14ac:dyDescent="0.15">
      <c r="A61" s="7" t="s">
        <v>76</v>
      </c>
      <c r="B61" s="5" t="s">
        <v>120</v>
      </c>
    </row>
    <row r="62" spans="1:2" x14ac:dyDescent="0.15">
      <c r="A62" s="7" t="s">
        <v>83</v>
      </c>
      <c r="B62" s="5" t="s">
        <v>53</v>
      </c>
    </row>
    <row r="63" spans="1:2" x14ac:dyDescent="0.15">
      <c r="A63" s="7" t="s">
        <v>77</v>
      </c>
      <c r="B63" t="s">
        <v>60</v>
      </c>
    </row>
    <row r="64" spans="1:2" x14ac:dyDescent="0.15">
      <c r="A64" s="7" t="s">
        <v>22</v>
      </c>
      <c r="B64" t="s">
        <v>95</v>
      </c>
    </row>
    <row r="65" spans="1:2" x14ac:dyDescent="0.15">
      <c r="A65" s="7" t="s">
        <v>84</v>
      </c>
      <c r="B65" t="s">
        <v>119</v>
      </c>
    </row>
    <row r="66" spans="1:2" x14ac:dyDescent="0.15">
      <c r="A66" s="7" t="s">
        <v>78</v>
      </c>
      <c r="B66" t="s">
        <v>118</v>
      </c>
    </row>
  </sheetData>
  <phoneticPr fontId="1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Q1"/>
  <sheetViews>
    <sheetView topLeftCell="B1" workbookViewId="0">
      <selection activeCell="D12" sqref="D12"/>
    </sheetView>
  </sheetViews>
  <sheetFormatPr defaultColWidth="9.125" defaultRowHeight="13.5" x14ac:dyDescent="0.15"/>
  <cols>
    <col min="1" max="1" width="9.125" hidden="1" customWidth="1"/>
    <col min="2" max="2" width="11.625" customWidth="1"/>
    <col min="3" max="3" width="10.625" customWidth="1"/>
    <col min="4" max="4" width="13.875" bestFit="1" customWidth="1"/>
    <col min="5" max="6" width="9.875" bestFit="1" customWidth="1"/>
    <col min="7" max="13" width="9.875" customWidth="1"/>
    <col min="14" max="14" width="10.875" customWidth="1"/>
    <col min="15" max="15" width="12.625" customWidth="1"/>
    <col min="16" max="16" width="22.625" customWidth="1"/>
    <col min="17" max="24" width="8.875" bestFit="1" customWidth="1"/>
    <col min="25" max="36" width="8.875" customWidth="1"/>
    <col min="37" max="37" width="28" bestFit="1" customWidth="1"/>
    <col min="38" max="38" width="11.5" customWidth="1"/>
    <col min="39" max="39" width="12.625" bestFit="1" customWidth="1"/>
    <col min="40" max="40" width="26.5" bestFit="1" customWidth="1"/>
    <col min="41" max="41" width="11" customWidth="1"/>
    <col min="42" max="42" width="15.375" bestFit="1" customWidth="1"/>
    <col min="43" max="43" width="15.5" bestFit="1" customWidth="1"/>
  </cols>
  <sheetData>
    <row r="1" spans="1:43" ht="29.25" customHeight="1" x14ac:dyDescent="0.15">
      <c r="A1" s="17" t="s">
        <v>172</v>
      </c>
      <c r="B1" s="18" t="s">
        <v>115</v>
      </c>
      <c r="C1" s="18" t="s">
        <v>173</v>
      </c>
      <c r="D1" s="18" t="s">
        <v>174</v>
      </c>
      <c r="E1" s="18" t="s">
        <v>175</v>
      </c>
      <c r="F1" s="18" t="s">
        <v>176</v>
      </c>
      <c r="G1" s="18" t="s">
        <v>177</v>
      </c>
      <c r="H1" s="18" t="s">
        <v>178</v>
      </c>
      <c r="I1" s="18" t="s">
        <v>179</v>
      </c>
      <c r="J1" s="18" t="s">
        <v>180</v>
      </c>
      <c r="K1" s="18" t="s">
        <v>181</v>
      </c>
      <c r="L1" s="18" t="s">
        <v>182</v>
      </c>
      <c r="M1" s="18" t="s">
        <v>183</v>
      </c>
      <c r="N1" s="18" t="s">
        <v>184</v>
      </c>
      <c r="O1" s="18" t="s">
        <v>185</v>
      </c>
      <c r="P1" s="18" t="s">
        <v>186</v>
      </c>
      <c r="Q1" s="18" t="s">
        <v>187</v>
      </c>
      <c r="R1" s="18" t="s">
        <v>188</v>
      </c>
      <c r="S1" s="18" t="s">
        <v>189</v>
      </c>
      <c r="T1" s="18" t="s">
        <v>190</v>
      </c>
      <c r="U1" s="18" t="s">
        <v>191</v>
      </c>
      <c r="V1" s="18" t="s">
        <v>192</v>
      </c>
      <c r="W1" s="18" t="s">
        <v>193</v>
      </c>
      <c r="X1" s="18" t="s">
        <v>194</v>
      </c>
      <c r="Y1" s="18" t="s">
        <v>195</v>
      </c>
      <c r="Z1" s="18" t="s">
        <v>196</v>
      </c>
      <c r="AA1" s="18" t="s">
        <v>197</v>
      </c>
      <c r="AB1" s="18" t="s">
        <v>198</v>
      </c>
      <c r="AC1" s="18" t="s">
        <v>199</v>
      </c>
      <c r="AD1" s="18" t="s">
        <v>200</v>
      </c>
      <c r="AE1" s="18" t="s">
        <v>201</v>
      </c>
      <c r="AF1" s="18" t="s">
        <v>202</v>
      </c>
      <c r="AG1" s="18" t="s">
        <v>203</v>
      </c>
      <c r="AH1" s="18" t="s">
        <v>204</v>
      </c>
      <c r="AI1" s="18" t="s">
        <v>205</v>
      </c>
      <c r="AJ1" s="18" t="s">
        <v>206</v>
      </c>
      <c r="AK1" s="19" t="s">
        <v>207</v>
      </c>
      <c r="AL1" s="19" t="s">
        <v>208</v>
      </c>
      <c r="AM1" s="19" t="s">
        <v>209</v>
      </c>
      <c r="AN1" s="19" t="s">
        <v>210</v>
      </c>
      <c r="AO1" s="19" t="s">
        <v>211</v>
      </c>
      <c r="AP1" s="19" t="s">
        <v>212</v>
      </c>
      <c r="AQ1" s="19" t="s">
        <v>213</v>
      </c>
    </row>
  </sheetData>
  <phoneticPr fontId="12" type="noConversion"/>
  <conditionalFormatting sqref="AO1:AP1">
    <cfRule type="cellIs" dxfId="314" priority="76" operator="equal">
      <formula>"G"</formula>
    </cfRule>
    <cfRule type="cellIs" dxfId="313" priority="77" operator="equal">
      <formula>"A"</formula>
    </cfRule>
    <cfRule type="cellIs" dxfId="312" priority="78" operator="equal">
      <formula>"R"</formula>
    </cfRule>
  </conditionalFormatting>
  <conditionalFormatting sqref="AO1">
    <cfRule type="cellIs" dxfId="311" priority="73" operator="equal">
      <formula>"G"</formula>
    </cfRule>
    <cfRule type="cellIs" dxfId="310" priority="74" operator="equal">
      <formula>"A"</formula>
    </cfRule>
    <cfRule type="cellIs" dxfId="309" priority="75" operator="equal">
      <formula>"R"</formula>
    </cfRule>
  </conditionalFormatting>
  <conditionalFormatting sqref="AO1">
    <cfRule type="cellIs" dxfId="308" priority="70" operator="equal">
      <formula>"G"</formula>
    </cfRule>
    <cfRule type="cellIs" dxfId="307" priority="71" operator="equal">
      <formula>"A"</formula>
    </cfRule>
    <cfRule type="cellIs" dxfId="306" priority="72" operator="equal">
      <formula>"R"</formula>
    </cfRule>
  </conditionalFormatting>
  <conditionalFormatting sqref="AO1">
    <cfRule type="cellIs" dxfId="305" priority="67" operator="equal">
      <formula>"G"</formula>
    </cfRule>
    <cfRule type="cellIs" dxfId="304" priority="68" operator="equal">
      <formula>"A"</formula>
    </cfRule>
    <cfRule type="cellIs" dxfId="303" priority="69" operator="equal">
      <formula>"R"</formula>
    </cfRule>
  </conditionalFormatting>
  <conditionalFormatting sqref="AO1">
    <cfRule type="cellIs" dxfId="302" priority="64" operator="equal">
      <formula>"G"</formula>
    </cfRule>
    <cfRule type="cellIs" dxfId="301" priority="65" operator="equal">
      <formula>"A"</formula>
    </cfRule>
    <cfRule type="cellIs" dxfId="300" priority="66" operator="equal">
      <formula>"R"</formula>
    </cfRule>
  </conditionalFormatting>
  <conditionalFormatting sqref="AO1">
    <cfRule type="cellIs" dxfId="299" priority="61" operator="equal">
      <formula>"G"</formula>
    </cfRule>
    <cfRule type="cellIs" dxfId="298" priority="62" operator="equal">
      <formula>"A"</formula>
    </cfRule>
    <cfRule type="cellIs" dxfId="297" priority="63" operator="equal">
      <formula>"R"</formula>
    </cfRule>
  </conditionalFormatting>
  <conditionalFormatting sqref="AO1">
    <cfRule type="cellIs" dxfId="296" priority="58" operator="equal">
      <formula>"G"</formula>
    </cfRule>
    <cfRule type="cellIs" dxfId="295" priority="59" operator="equal">
      <formula>"A"</formula>
    </cfRule>
    <cfRule type="cellIs" dxfId="294" priority="60" operator="equal">
      <formula>"R"</formula>
    </cfRule>
  </conditionalFormatting>
  <conditionalFormatting sqref="AO1">
    <cfRule type="cellIs" dxfId="293" priority="55" operator="equal">
      <formula>"G"</formula>
    </cfRule>
    <cfRule type="cellIs" dxfId="292" priority="56" operator="equal">
      <formula>"A"</formula>
    </cfRule>
    <cfRule type="cellIs" dxfId="291" priority="57" operator="equal">
      <formula>"R"</formula>
    </cfRule>
  </conditionalFormatting>
  <conditionalFormatting sqref="AO1">
    <cfRule type="cellIs" dxfId="290" priority="52" operator="equal">
      <formula>"G"</formula>
    </cfRule>
    <cfRule type="cellIs" dxfId="289" priority="53" operator="equal">
      <formula>"A"</formula>
    </cfRule>
    <cfRule type="cellIs" dxfId="288" priority="54" operator="equal">
      <formula>"R"</formula>
    </cfRule>
  </conditionalFormatting>
  <conditionalFormatting sqref="AO1">
    <cfRule type="cellIs" dxfId="287" priority="49" operator="equal">
      <formula>"G"</formula>
    </cfRule>
    <cfRule type="cellIs" dxfId="286" priority="50" operator="equal">
      <formula>"A"</formula>
    </cfRule>
    <cfRule type="cellIs" dxfId="285" priority="51" operator="equal">
      <formula>"R"</formula>
    </cfRule>
  </conditionalFormatting>
  <conditionalFormatting sqref="AO1">
    <cfRule type="cellIs" dxfId="284" priority="46" operator="equal">
      <formula>"G"</formula>
    </cfRule>
    <cfRule type="cellIs" dxfId="283" priority="47" operator="equal">
      <formula>"A"</formula>
    </cfRule>
    <cfRule type="cellIs" dxfId="282" priority="48" operator="equal">
      <formula>"R"</formula>
    </cfRule>
  </conditionalFormatting>
  <conditionalFormatting sqref="AO1">
    <cfRule type="cellIs" dxfId="281" priority="43" operator="equal">
      <formula>"G"</formula>
    </cfRule>
    <cfRule type="cellIs" dxfId="280" priority="44" operator="equal">
      <formula>"A"</formula>
    </cfRule>
    <cfRule type="cellIs" dxfId="279" priority="45" operator="equal">
      <formula>"R"</formula>
    </cfRule>
  </conditionalFormatting>
  <conditionalFormatting sqref="AO1">
    <cfRule type="cellIs" dxfId="278" priority="40" operator="equal">
      <formula>"G"</formula>
    </cfRule>
    <cfRule type="cellIs" dxfId="277" priority="41" operator="equal">
      <formula>"A"</formula>
    </cfRule>
    <cfRule type="cellIs" dxfId="276" priority="42" operator="equal">
      <formula>"R"</formula>
    </cfRule>
  </conditionalFormatting>
  <conditionalFormatting sqref="AO1">
    <cfRule type="cellIs" dxfId="275" priority="37" operator="equal">
      <formula>"G"</formula>
    </cfRule>
    <cfRule type="cellIs" dxfId="274" priority="38" operator="equal">
      <formula>"A"</formula>
    </cfRule>
    <cfRule type="cellIs" dxfId="273" priority="39" operator="equal">
      <formula>"R"</formula>
    </cfRule>
  </conditionalFormatting>
  <conditionalFormatting sqref="AO1">
    <cfRule type="cellIs" dxfId="272" priority="34" operator="equal">
      <formula>"G"</formula>
    </cfRule>
    <cfRule type="cellIs" dxfId="271" priority="35" operator="equal">
      <formula>"A"</formula>
    </cfRule>
    <cfRule type="cellIs" dxfId="270" priority="36" operator="equal">
      <formula>"R"</formula>
    </cfRule>
  </conditionalFormatting>
  <conditionalFormatting sqref="AO1">
    <cfRule type="cellIs" dxfId="269" priority="31" operator="equal">
      <formula>"G"</formula>
    </cfRule>
    <cfRule type="cellIs" dxfId="268" priority="32" operator="equal">
      <formula>"A"</formula>
    </cfRule>
    <cfRule type="cellIs" dxfId="267" priority="33" operator="equal">
      <formula>"R"</formula>
    </cfRule>
  </conditionalFormatting>
  <conditionalFormatting sqref="AO1">
    <cfRule type="cellIs" dxfId="266" priority="28" operator="equal">
      <formula>"G"</formula>
    </cfRule>
    <cfRule type="cellIs" dxfId="265" priority="29" operator="equal">
      <formula>"A"</formula>
    </cfRule>
    <cfRule type="cellIs" dxfId="264" priority="30" operator="equal">
      <formula>"R"</formula>
    </cfRule>
  </conditionalFormatting>
  <conditionalFormatting sqref="AO1">
    <cfRule type="cellIs" dxfId="263" priority="25" operator="equal">
      <formula>"G"</formula>
    </cfRule>
    <cfRule type="cellIs" dxfId="262" priority="26" operator="equal">
      <formula>"A"</formula>
    </cfRule>
    <cfRule type="cellIs" dxfId="261" priority="27" operator="equal">
      <formula>"R"</formula>
    </cfRule>
  </conditionalFormatting>
  <conditionalFormatting sqref="AO1">
    <cfRule type="cellIs" dxfId="260" priority="22" operator="equal">
      <formula>"G"</formula>
    </cfRule>
    <cfRule type="cellIs" dxfId="259" priority="23" operator="equal">
      <formula>"A"</formula>
    </cfRule>
    <cfRule type="cellIs" dxfId="258" priority="24" operator="equal">
      <formula>"R"</formula>
    </cfRule>
  </conditionalFormatting>
  <conditionalFormatting sqref="AO1">
    <cfRule type="cellIs" dxfId="257" priority="19" operator="equal">
      <formula>"G"</formula>
    </cfRule>
    <cfRule type="cellIs" dxfId="256" priority="20" operator="equal">
      <formula>"A"</formula>
    </cfRule>
    <cfRule type="cellIs" dxfId="255" priority="21" operator="equal">
      <formula>"R"</formula>
    </cfRule>
  </conditionalFormatting>
  <conditionalFormatting sqref="AO1">
    <cfRule type="cellIs" dxfId="254" priority="16" operator="equal">
      <formula>"G"</formula>
    </cfRule>
    <cfRule type="cellIs" dxfId="253" priority="17" operator="equal">
      <formula>"A"</formula>
    </cfRule>
    <cfRule type="cellIs" dxfId="252" priority="18" operator="equal">
      <formula>"R"</formula>
    </cfRule>
  </conditionalFormatting>
  <conditionalFormatting sqref="AO1">
    <cfRule type="cellIs" dxfId="251" priority="13" operator="equal">
      <formula>"G"</formula>
    </cfRule>
    <cfRule type="cellIs" dxfId="250" priority="14" operator="equal">
      <formula>"A"</formula>
    </cfRule>
    <cfRule type="cellIs" dxfId="249" priority="15" operator="equal">
      <formula>"R"</formula>
    </cfRule>
  </conditionalFormatting>
  <conditionalFormatting sqref="AO1">
    <cfRule type="cellIs" dxfId="248" priority="10" operator="equal">
      <formula>"G"</formula>
    </cfRule>
    <cfRule type="cellIs" dxfId="247" priority="11" operator="equal">
      <formula>"A"</formula>
    </cfRule>
    <cfRule type="cellIs" dxfId="246" priority="12" operator="equal">
      <formula>"R"</formula>
    </cfRule>
  </conditionalFormatting>
  <conditionalFormatting sqref="AO1">
    <cfRule type="cellIs" dxfId="245" priority="7" operator="equal">
      <formula>"G"</formula>
    </cfRule>
    <cfRule type="cellIs" dxfId="244" priority="8" operator="equal">
      <formula>"A"</formula>
    </cfRule>
    <cfRule type="cellIs" dxfId="243" priority="9" operator="equal">
      <formula>"R"</formula>
    </cfRule>
  </conditionalFormatting>
  <conditionalFormatting sqref="AO1">
    <cfRule type="cellIs" dxfId="242" priority="4" operator="equal">
      <formula>"G"</formula>
    </cfRule>
    <cfRule type="cellIs" dxfId="241" priority="5" operator="equal">
      <formula>"A"</formula>
    </cfRule>
    <cfRule type="cellIs" dxfId="240" priority="6" operator="equal">
      <formula>"R"</formula>
    </cfRule>
  </conditionalFormatting>
  <conditionalFormatting sqref="AO1">
    <cfRule type="cellIs" dxfId="239" priority="1" operator="equal">
      <formula>"G"</formula>
    </cfRule>
    <cfRule type="cellIs" dxfId="238" priority="2" operator="equal">
      <formula>"A"</formula>
    </cfRule>
    <cfRule type="cellIs" dxfId="237" priority="3" operator="equal">
      <formula>"R"</formula>
    </cfRule>
  </conditionalFormatting>
  <dataValidations count="2">
    <dataValidation type="list" allowBlank="1" showInputMessage="1" showErrorMessage="1" sqref="AO1">
      <formula1>"R,A,G"</formula1>
    </dataValidation>
    <dataValidation type="list" allowBlank="1" showInputMessage="1" showErrorMessage="1" sqref="AL1">
      <formula1>"OXO,SDV,Prod Def, Cen Ops"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1"/>
  <sheetViews>
    <sheetView topLeftCell="B1" workbookViewId="0">
      <selection activeCell="H24" sqref="H24"/>
    </sheetView>
  </sheetViews>
  <sheetFormatPr defaultColWidth="9.125" defaultRowHeight="13.5" x14ac:dyDescent="0.15"/>
  <cols>
    <col min="1" max="1" width="9.125" style="26" hidden="1" customWidth="1"/>
    <col min="2" max="2" width="11.625" style="26" customWidth="1"/>
    <col min="3" max="3" width="10.625" style="26" customWidth="1"/>
    <col min="4" max="4" width="13.875" style="26" bestFit="1" customWidth="1"/>
    <col min="5" max="6" width="9.875" style="26" bestFit="1" customWidth="1"/>
    <col min="7" max="13" width="9.875" style="26" customWidth="1"/>
    <col min="14" max="14" width="10.875" style="26" customWidth="1"/>
    <col min="15" max="15" width="12.625" style="26" customWidth="1"/>
    <col min="16" max="16" width="22.625" style="26" customWidth="1"/>
    <col min="17" max="24" width="8.875" style="26" bestFit="1" customWidth="1"/>
    <col min="25" max="36" width="8.875" style="26" customWidth="1"/>
    <col min="37" max="37" width="28" style="26" bestFit="1" customWidth="1"/>
    <col min="38" max="38" width="11.5" style="26" customWidth="1"/>
    <col min="39" max="39" width="12.625" style="26" bestFit="1" customWidth="1"/>
    <col min="40" max="40" width="26.5" style="26" bestFit="1" customWidth="1"/>
    <col min="41" max="41" width="11" style="26" customWidth="1"/>
    <col min="42" max="42" width="15.375" style="26" bestFit="1" customWidth="1"/>
    <col min="43" max="43" width="15.5" style="26" bestFit="1" customWidth="1"/>
    <col min="44" max="16384" width="9.125" style="26"/>
  </cols>
  <sheetData>
    <row r="1" spans="1:43" ht="29.25" customHeight="1" x14ac:dyDescent="0.15">
      <c r="A1" s="17" t="s">
        <v>172</v>
      </c>
      <c r="B1" s="18" t="s">
        <v>115</v>
      </c>
      <c r="C1" s="18" t="s">
        <v>173</v>
      </c>
      <c r="D1" s="18" t="s">
        <v>174</v>
      </c>
      <c r="E1" s="18" t="s">
        <v>175</v>
      </c>
      <c r="F1" s="18" t="s">
        <v>176</v>
      </c>
      <c r="G1" s="18" t="s">
        <v>177</v>
      </c>
      <c r="H1" s="18" t="s">
        <v>178</v>
      </c>
      <c r="I1" s="18" t="s">
        <v>179</v>
      </c>
      <c r="J1" s="18" t="s">
        <v>180</v>
      </c>
      <c r="K1" s="18" t="s">
        <v>181</v>
      </c>
      <c r="L1" s="18" t="s">
        <v>182</v>
      </c>
      <c r="M1" s="18" t="s">
        <v>183</v>
      </c>
      <c r="N1" s="18" t="s">
        <v>184</v>
      </c>
      <c r="O1" s="18" t="s">
        <v>185</v>
      </c>
      <c r="P1" s="18" t="s">
        <v>186</v>
      </c>
      <c r="Q1" s="18" t="s">
        <v>187</v>
      </c>
      <c r="R1" s="18" t="s">
        <v>188</v>
      </c>
      <c r="S1" s="18" t="s">
        <v>189</v>
      </c>
      <c r="T1" s="18" t="s">
        <v>190</v>
      </c>
      <c r="U1" s="18" t="s">
        <v>191</v>
      </c>
      <c r="V1" s="18" t="s">
        <v>192</v>
      </c>
      <c r="W1" s="18" t="s">
        <v>193</v>
      </c>
      <c r="X1" s="18" t="s">
        <v>194</v>
      </c>
      <c r="Y1" s="18" t="s">
        <v>195</v>
      </c>
      <c r="Z1" s="18" t="s">
        <v>196</v>
      </c>
      <c r="AA1" s="18" t="s">
        <v>197</v>
      </c>
      <c r="AB1" s="18" t="s">
        <v>198</v>
      </c>
      <c r="AC1" s="18" t="s">
        <v>199</v>
      </c>
      <c r="AD1" s="18" t="s">
        <v>200</v>
      </c>
      <c r="AE1" s="18" t="s">
        <v>201</v>
      </c>
      <c r="AF1" s="18" t="s">
        <v>202</v>
      </c>
      <c r="AG1" s="18" t="s">
        <v>203</v>
      </c>
      <c r="AH1" s="18" t="s">
        <v>204</v>
      </c>
      <c r="AI1" s="18" t="s">
        <v>205</v>
      </c>
      <c r="AJ1" s="18" t="s">
        <v>206</v>
      </c>
      <c r="AK1" s="19" t="s">
        <v>207</v>
      </c>
      <c r="AL1" s="19" t="s">
        <v>208</v>
      </c>
      <c r="AM1" s="19" t="s">
        <v>209</v>
      </c>
      <c r="AN1" s="19" t="s">
        <v>210</v>
      </c>
      <c r="AO1" s="19" t="s">
        <v>211</v>
      </c>
      <c r="AP1" s="19" t="s">
        <v>212</v>
      </c>
      <c r="AQ1" s="19" t="s">
        <v>213</v>
      </c>
    </row>
  </sheetData>
  <phoneticPr fontId="12" type="noConversion"/>
  <conditionalFormatting sqref="AO1:AP1">
    <cfRule type="cellIs" dxfId="236" priority="76" operator="equal">
      <formula>"G"</formula>
    </cfRule>
    <cfRule type="cellIs" dxfId="235" priority="77" operator="equal">
      <formula>"A"</formula>
    </cfRule>
    <cfRule type="cellIs" dxfId="234" priority="78" operator="equal">
      <formula>"R"</formula>
    </cfRule>
  </conditionalFormatting>
  <conditionalFormatting sqref="AO1">
    <cfRule type="cellIs" dxfId="233" priority="73" operator="equal">
      <formula>"G"</formula>
    </cfRule>
    <cfRule type="cellIs" dxfId="232" priority="74" operator="equal">
      <formula>"A"</formula>
    </cfRule>
    <cfRule type="cellIs" dxfId="231" priority="75" operator="equal">
      <formula>"R"</formula>
    </cfRule>
  </conditionalFormatting>
  <conditionalFormatting sqref="AO1">
    <cfRule type="cellIs" dxfId="230" priority="70" operator="equal">
      <formula>"G"</formula>
    </cfRule>
    <cfRule type="cellIs" dxfId="229" priority="71" operator="equal">
      <formula>"A"</formula>
    </cfRule>
    <cfRule type="cellIs" dxfId="228" priority="72" operator="equal">
      <formula>"R"</formula>
    </cfRule>
  </conditionalFormatting>
  <conditionalFormatting sqref="AO1">
    <cfRule type="cellIs" dxfId="227" priority="67" operator="equal">
      <formula>"G"</formula>
    </cfRule>
    <cfRule type="cellIs" dxfId="226" priority="68" operator="equal">
      <formula>"A"</formula>
    </cfRule>
    <cfRule type="cellIs" dxfId="225" priority="69" operator="equal">
      <formula>"R"</formula>
    </cfRule>
  </conditionalFormatting>
  <conditionalFormatting sqref="AO1">
    <cfRule type="cellIs" dxfId="224" priority="64" operator="equal">
      <formula>"G"</formula>
    </cfRule>
    <cfRule type="cellIs" dxfId="223" priority="65" operator="equal">
      <formula>"A"</formula>
    </cfRule>
    <cfRule type="cellIs" dxfId="222" priority="66" operator="equal">
      <formula>"R"</formula>
    </cfRule>
  </conditionalFormatting>
  <conditionalFormatting sqref="AO1">
    <cfRule type="cellIs" dxfId="221" priority="61" operator="equal">
      <formula>"G"</formula>
    </cfRule>
    <cfRule type="cellIs" dxfId="220" priority="62" operator="equal">
      <formula>"A"</formula>
    </cfRule>
    <cfRule type="cellIs" dxfId="219" priority="63" operator="equal">
      <formula>"R"</formula>
    </cfRule>
  </conditionalFormatting>
  <conditionalFormatting sqref="AO1">
    <cfRule type="cellIs" dxfId="218" priority="58" operator="equal">
      <formula>"G"</formula>
    </cfRule>
    <cfRule type="cellIs" dxfId="217" priority="59" operator="equal">
      <formula>"A"</formula>
    </cfRule>
    <cfRule type="cellIs" dxfId="216" priority="60" operator="equal">
      <formula>"R"</formula>
    </cfRule>
  </conditionalFormatting>
  <conditionalFormatting sqref="AO1">
    <cfRule type="cellIs" dxfId="215" priority="55" operator="equal">
      <formula>"G"</formula>
    </cfRule>
    <cfRule type="cellIs" dxfId="214" priority="56" operator="equal">
      <formula>"A"</formula>
    </cfRule>
    <cfRule type="cellIs" dxfId="213" priority="57" operator="equal">
      <formula>"R"</formula>
    </cfRule>
  </conditionalFormatting>
  <conditionalFormatting sqref="AO1">
    <cfRule type="cellIs" dxfId="212" priority="52" operator="equal">
      <formula>"G"</formula>
    </cfRule>
    <cfRule type="cellIs" dxfId="211" priority="53" operator="equal">
      <formula>"A"</formula>
    </cfRule>
    <cfRule type="cellIs" dxfId="210" priority="54" operator="equal">
      <formula>"R"</formula>
    </cfRule>
  </conditionalFormatting>
  <conditionalFormatting sqref="AO1">
    <cfRule type="cellIs" dxfId="209" priority="49" operator="equal">
      <formula>"G"</formula>
    </cfRule>
    <cfRule type="cellIs" dxfId="208" priority="50" operator="equal">
      <formula>"A"</formula>
    </cfRule>
    <cfRule type="cellIs" dxfId="207" priority="51" operator="equal">
      <formula>"R"</formula>
    </cfRule>
  </conditionalFormatting>
  <conditionalFormatting sqref="AO1">
    <cfRule type="cellIs" dxfId="206" priority="46" operator="equal">
      <formula>"G"</formula>
    </cfRule>
    <cfRule type="cellIs" dxfId="205" priority="47" operator="equal">
      <formula>"A"</formula>
    </cfRule>
    <cfRule type="cellIs" dxfId="204" priority="48" operator="equal">
      <formula>"R"</formula>
    </cfRule>
  </conditionalFormatting>
  <conditionalFormatting sqref="AO1">
    <cfRule type="cellIs" dxfId="203" priority="43" operator="equal">
      <formula>"G"</formula>
    </cfRule>
    <cfRule type="cellIs" dxfId="202" priority="44" operator="equal">
      <formula>"A"</formula>
    </cfRule>
    <cfRule type="cellIs" dxfId="201" priority="45" operator="equal">
      <formula>"R"</formula>
    </cfRule>
  </conditionalFormatting>
  <conditionalFormatting sqref="AO1">
    <cfRule type="cellIs" dxfId="200" priority="40" operator="equal">
      <formula>"G"</formula>
    </cfRule>
    <cfRule type="cellIs" dxfId="199" priority="41" operator="equal">
      <formula>"A"</formula>
    </cfRule>
    <cfRule type="cellIs" dxfId="198" priority="42" operator="equal">
      <formula>"R"</formula>
    </cfRule>
  </conditionalFormatting>
  <conditionalFormatting sqref="AO1">
    <cfRule type="cellIs" dxfId="197" priority="37" operator="equal">
      <formula>"G"</formula>
    </cfRule>
    <cfRule type="cellIs" dxfId="196" priority="38" operator="equal">
      <formula>"A"</formula>
    </cfRule>
    <cfRule type="cellIs" dxfId="195" priority="39" operator="equal">
      <formula>"R"</formula>
    </cfRule>
  </conditionalFormatting>
  <conditionalFormatting sqref="AO1">
    <cfRule type="cellIs" dxfId="194" priority="34" operator="equal">
      <formula>"G"</formula>
    </cfRule>
    <cfRule type="cellIs" dxfId="193" priority="35" operator="equal">
      <formula>"A"</formula>
    </cfRule>
    <cfRule type="cellIs" dxfId="192" priority="36" operator="equal">
      <formula>"R"</formula>
    </cfRule>
  </conditionalFormatting>
  <conditionalFormatting sqref="AO1">
    <cfRule type="cellIs" dxfId="191" priority="31" operator="equal">
      <formula>"G"</formula>
    </cfRule>
    <cfRule type="cellIs" dxfId="190" priority="32" operator="equal">
      <formula>"A"</formula>
    </cfRule>
    <cfRule type="cellIs" dxfId="189" priority="33" operator="equal">
      <formula>"R"</formula>
    </cfRule>
  </conditionalFormatting>
  <conditionalFormatting sqref="AO1">
    <cfRule type="cellIs" dxfId="188" priority="28" operator="equal">
      <formula>"G"</formula>
    </cfRule>
    <cfRule type="cellIs" dxfId="187" priority="29" operator="equal">
      <formula>"A"</formula>
    </cfRule>
    <cfRule type="cellIs" dxfId="186" priority="30" operator="equal">
      <formula>"R"</formula>
    </cfRule>
  </conditionalFormatting>
  <conditionalFormatting sqref="AO1">
    <cfRule type="cellIs" dxfId="185" priority="25" operator="equal">
      <formula>"G"</formula>
    </cfRule>
    <cfRule type="cellIs" dxfId="184" priority="26" operator="equal">
      <formula>"A"</formula>
    </cfRule>
    <cfRule type="cellIs" dxfId="183" priority="27" operator="equal">
      <formula>"R"</formula>
    </cfRule>
  </conditionalFormatting>
  <conditionalFormatting sqref="AO1">
    <cfRule type="cellIs" dxfId="182" priority="22" operator="equal">
      <formula>"G"</formula>
    </cfRule>
    <cfRule type="cellIs" dxfId="181" priority="23" operator="equal">
      <formula>"A"</formula>
    </cfRule>
    <cfRule type="cellIs" dxfId="180" priority="24" operator="equal">
      <formula>"R"</formula>
    </cfRule>
  </conditionalFormatting>
  <conditionalFormatting sqref="AO1">
    <cfRule type="cellIs" dxfId="179" priority="19" operator="equal">
      <formula>"G"</formula>
    </cfRule>
    <cfRule type="cellIs" dxfId="178" priority="20" operator="equal">
      <formula>"A"</formula>
    </cfRule>
    <cfRule type="cellIs" dxfId="177" priority="21" operator="equal">
      <formula>"R"</formula>
    </cfRule>
  </conditionalFormatting>
  <conditionalFormatting sqref="AO1">
    <cfRule type="cellIs" dxfId="176" priority="16" operator="equal">
      <formula>"G"</formula>
    </cfRule>
    <cfRule type="cellIs" dxfId="175" priority="17" operator="equal">
      <formula>"A"</formula>
    </cfRule>
    <cfRule type="cellIs" dxfId="174" priority="18" operator="equal">
      <formula>"R"</formula>
    </cfRule>
  </conditionalFormatting>
  <conditionalFormatting sqref="AO1">
    <cfRule type="cellIs" dxfId="173" priority="13" operator="equal">
      <formula>"G"</formula>
    </cfRule>
    <cfRule type="cellIs" dxfId="172" priority="14" operator="equal">
      <formula>"A"</formula>
    </cfRule>
    <cfRule type="cellIs" dxfId="171" priority="15" operator="equal">
      <formula>"R"</formula>
    </cfRule>
  </conditionalFormatting>
  <conditionalFormatting sqref="AO1">
    <cfRule type="cellIs" dxfId="170" priority="10" operator="equal">
      <formula>"G"</formula>
    </cfRule>
    <cfRule type="cellIs" dxfId="169" priority="11" operator="equal">
      <formula>"A"</formula>
    </cfRule>
    <cfRule type="cellIs" dxfId="168" priority="12" operator="equal">
      <formula>"R"</formula>
    </cfRule>
  </conditionalFormatting>
  <conditionalFormatting sqref="AO1">
    <cfRule type="cellIs" dxfId="167" priority="7" operator="equal">
      <formula>"G"</formula>
    </cfRule>
    <cfRule type="cellIs" dxfId="166" priority="8" operator="equal">
      <formula>"A"</formula>
    </cfRule>
    <cfRule type="cellIs" dxfId="165" priority="9" operator="equal">
      <formula>"R"</formula>
    </cfRule>
  </conditionalFormatting>
  <conditionalFormatting sqref="AO1">
    <cfRule type="cellIs" dxfId="164" priority="4" operator="equal">
      <formula>"G"</formula>
    </cfRule>
    <cfRule type="cellIs" dxfId="163" priority="5" operator="equal">
      <formula>"A"</formula>
    </cfRule>
    <cfRule type="cellIs" dxfId="162" priority="6" operator="equal">
      <formula>"R"</formula>
    </cfRule>
  </conditionalFormatting>
  <conditionalFormatting sqref="AO1">
    <cfRule type="cellIs" dxfId="161" priority="1" operator="equal">
      <formula>"G"</formula>
    </cfRule>
    <cfRule type="cellIs" dxfId="160" priority="2" operator="equal">
      <formula>"A"</formula>
    </cfRule>
    <cfRule type="cellIs" dxfId="159" priority="3" operator="equal">
      <formula>"R"</formula>
    </cfRule>
  </conditionalFormatting>
  <dataValidations count="2">
    <dataValidation type="list" allowBlank="1" showInputMessage="1" showErrorMessage="1" sqref="AL1">
      <formula1>"OXO,SDV,Prod Def, Cen Ops"</formula1>
    </dataValidation>
    <dataValidation type="list" allowBlank="1" showInputMessage="1" showErrorMessage="1" sqref="AO1">
      <formula1>"R,A,G"</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Q1"/>
  <sheetViews>
    <sheetView topLeftCell="B1" workbookViewId="0">
      <selection activeCell="B6" sqref="B6"/>
    </sheetView>
  </sheetViews>
  <sheetFormatPr defaultColWidth="9.125" defaultRowHeight="13.5" x14ac:dyDescent="0.15"/>
  <cols>
    <col min="1" max="1" width="9.125" style="26" hidden="1" customWidth="1"/>
    <col min="2" max="2" width="11.625" style="26" customWidth="1"/>
    <col min="3" max="3" width="10.625" style="26" customWidth="1"/>
    <col min="4" max="4" width="13.875" style="26" bestFit="1" customWidth="1"/>
    <col min="5" max="6" width="9.875" style="26" bestFit="1" customWidth="1"/>
    <col min="7" max="13" width="9.875" style="26" customWidth="1"/>
    <col min="14" max="14" width="10.875" style="26" customWidth="1"/>
    <col min="15" max="15" width="12.625" style="26" customWidth="1"/>
    <col min="16" max="16" width="22.625" style="26" customWidth="1"/>
    <col min="17" max="24" width="8.875" style="26" bestFit="1" customWidth="1"/>
    <col min="25" max="36" width="8.875" style="26" customWidth="1"/>
    <col min="37" max="37" width="28" style="26" bestFit="1" customWidth="1"/>
    <col min="38" max="38" width="11.5" style="26" customWidth="1"/>
    <col min="39" max="39" width="12.625" style="26" bestFit="1" customWidth="1"/>
    <col min="40" max="40" width="26.5" style="26" bestFit="1" customWidth="1"/>
    <col min="41" max="41" width="11" style="26" customWidth="1"/>
    <col min="42" max="42" width="15.375" style="26" bestFit="1" customWidth="1"/>
    <col min="43" max="43" width="15.5" style="26" bestFit="1" customWidth="1"/>
    <col min="44" max="16384" width="9.125" style="26"/>
  </cols>
  <sheetData>
    <row r="1" spans="1:43" ht="29.25" customHeight="1" x14ac:dyDescent="0.15">
      <c r="A1" s="17" t="s">
        <v>172</v>
      </c>
      <c r="B1" s="18" t="s">
        <v>115</v>
      </c>
      <c r="C1" s="18" t="s">
        <v>173</v>
      </c>
      <c r="D1" s="18" t="s">
        <v>174</v>
      </c>
      <c r="E1" s="18" t="s">
        <v>175</v>
      </c>
      <c r="F1" s="18" t="s">
        <v>176</v>
      </c>
      <c r="G1" s="18" t="s">
        <v>177</v>
      </c>
      <c r="H1" s="18" t="s">
        <v>178</v>
      </c>
      <c r="I1" s="18" t="s">
        <v>179</v>
      </c>
      <c r="J1" s="18" t="s">
        <v>180</v>
      </c>
      <c r="K1" s="18" t="s">
        <v>181</v>
      </c>
      <c r="L1" s="18" t="s">
        <v>182</v>
      </c>
      <c r="M1" s="18" t="s">
        <v>183</v>
      </c>
      <c r="N1" s="18" t="s">
        <v>184</v>
      </c>
      <c r="O1" s="18" t="s">
        <v>185</v>
      </c>
      <c r="P1" s="18" t="s">
        <v>186</v>
      </c>
      <c r="Q1" s="18" t="s">
        <v>187</v>
      </c>
      <c r="R1" s="18" t="s">
        <v>188</v>
      </c>
      <c r="S1" s="18" t="s">
        <v>189</v>
      </c>
      <c r="T1" s="18" t="s">
        <v>190</v>
      </c>
      <c r="U1" s="18" t="s">
        <v>191</v>
      </c>
      <c r="V1" s="18" t="s">
        <v>192</v>
      </c>
      <c r="W1" s="18" t="s">
        <v>193</v>
      </c>
      <c r="X1" s="18" t="s">
        <v>194</v>
      </c>
      <c r="Y1" s="18" t="s">
        <v>195</v>
      </c>
      <c r="Z1" s="18" t="s">
        <v>196</v>
      </c>
      <c r="AA1" s="18" t="s">
        <v>197</v>
      </c>
      <c r="AB1" s="18" t="s">
        <v>198</v>
      </c>
      <c r="AC1" s="18" t="s">
        <v>199</v>
      </c>
      <c r="AD1" s="18" t="s">
        <v>200</v>
      </c>
      <c r="AE1" s="18" t="s">
        <v>201</v>
      </c>
      <c r="AF1" s="18" t="s">
        <v>202</v>
      </c>
      <c r="AG1" s="18" t="s">
        <v>203</v>
      </c>
      <c r="AH1" s="18" t="s">
        <v>204</v>
      </c>
      <c r="AI1" s="18" t="s">
        <v>205</v>
      </c>
      <c r="AJ1" s="18" t="s">
        <v>206</v>
      </c>
      <c r="AK1" s="19" t="s">
        <v>207</v>
      </c>
      <c r="AL1" s="19" t="s">
        <v>208</v>
      </c>
      <c r="AM1" s="19" t="s">
        <v>209</v>
      </c>
      <c r="AN1" s="19" t="s">
        <v>210</v>
      </c>
      <c r="AO1" s="19" t="s">
        <v>211</v>
      </c>
      <c r="AP1" s="19" t="s">
        <v>212</v>
      </c>
      <c r="AQ1" s="19" t="s">
        <v>213</v>
      </c>
    </row>
  </sheetData>
  <phoneticPr fontId="12" type="noConversion"/>
  <conditionalFormatting sqref="AO1:AP1">
    <cfRule type="cellIs" dxfId="158" priority="76" operator="equal">
      <formula>"G"</formula>
    </cfRule>
    <cfRule type="cellIs" dxfId="157" priority="77" operator="equal">
      <formula>"A"</formula>
    </cfRule>
    <cfRule type="cellIs" dxfId="156" priority="78" operator="equal">
      <formula>"R"</formula>
    </cfRule>
  </conditionalFormatting>
  <conditionalFormatting sqref="AO1">
    <cfRule type="cellIs" dxfId="155" priority="73" operator="equal">
      <formula>"G"</formula>
    </cfRule>
    <cfRule type="cellIs" dxfId="154" priority="74" operator="equal">
      <formula>"A"</formula>
    </cfRule>
    <cfRule type="cellIs" dxfId="153" priority="75" operator="equal">
      <formula>"R"</formula>
    </cfRule>
  </conditionalFormatting>
  <conditionalFormatting sqref="AO1">
    <cfRule type="cellIs" dxfId="152" priority="70" operator="equal">
      <formula>"G"</formula>
    </cfRule>
    <cfRule type="cellIs" dxfId="151" priority="71" operator="equal">
      <formula>"A"</formula>
    </cfRule>
    <cfRule type="cellIs" dxfId="150" priority="72" operator="equal">
      <formula>"R"</formula>
    </cfRule>
  </conditionalFormatting>
  <conditionalFormatting sqref="AO1">
    <cfRule type="cellIs" dxfId="149" priority="67" operator="equal">
      <formula>"G"</formula>
    </cfRule>
    <cfRule type="cellIs" dxfId="148" priority="68" operator="equal">
      <formula>"A"</formula>
    </cfRule>
    <cfRule type="cellIs" dxfId="147" priority="69" operator="equal">
      <formula>"R"</formula>
    </cfRule>
  </conditionalFormatting>
  <conditionalFormatting sqref="AO1">
    <cfRule type="cellIs" dxfId="146" priority="64" operator="equal">
      <formula>"G"</formula>
    </cfRule>
    <cfRule type="cellIs" dxfId="145" priority="65" operator="equal">
      <formula>"A"</formula>
    </cfRule>
    <cfRule type="cellIs" dxfId="144" priority="66" operator="equal">
      <formula>"R"</formula>
    </cfRule>
  </conditionalFormatting>
  <conditionalFormatting sqref="AO1">
    <cfRule type="cellIs" dxfId="143" priority="61" operator="equal">
      <formula>"G"</formula>
    </cfRule>
    <cfRule type="cellIs" dxfId="142" priority="62" operator="equal">
      <formula>"A"</formula>
    </cfRule>
    <cfRule type="cellIs" dxfId="141" priority="63" operator="equal">
      <formula>"R"</formula>
    </cfRule>
  </conditionalFormatting>
  <conditionalFormatting sqref="AO1">
    <cfRule type="cellIs" dxfId="140" priority="58" operator="equal">
      <formula>"G"</formula>
    </cfRule>
    <cfRule type="cellIs" dxfId="139" priority="59" operator="equal">
      <formula>"A"</formula>
    </cfRule>
    <cfRule type="cellIs" dxfId="138" priority="60" operator="equal">
      <formula>"R"</formula>
    </cfRule>
  </conditionalFormatting>
  <conditionalFormatting sqref="AO1">
    <cfRule type="cellIs" dxfId="137" priority="55" operator="equal">
      <formula>"G"</formula>
    </cfRule>
    <cfRule type="cellIs" dxfId="136" priority="56" operator="equal">
      <formula>"A"</formula>
    </cfRule>
    <cfRule type="cellIs" dxfId="135" priority="57" operator="equal">
      <formula>"R"</formula>
    </cfRule>
  </conditionalFormatting>
  <conditionalFormatting sqref="AO1">
    <cfRule type="cellIs" dxfId="134" priority="52" operator="equal">
      <formula>"G"</formula>
    </cfRule>
    <cfRule type="cellIs" dxfId="133" priority="53" operator="equal">
      <formula>"A"</formula>
    </cfRule>
    <cfRule type="cellIs" dxfId="132" priority="54" operator="equal">
      <formula>"R"</formula>
    </cfRule>
  </conditionalFormatting>
  <conditionalFormatting sqref="AO1">
    <cfRule type="cellIs" dxfId="131" priority="49" operator="equal">
      <formula>"G"</formula>
    </cfRule>
    <cfRule type="cellIs" dxfId="130" priority="50" operator="equal">
      <formula>"A"</formula>
    </cfRule>
    <cfRule type="cellIs" dxfId="129" priority="51" operator="equal">
      <formula>"R"</formula>
    </cfRule>
  </conditionalFormatting>
  <conditionalFormatting sqref="AO1">
    <cfRule type="cellIs" dxfId="128" priority="46" operator="equal">
      <formula>"G"</formula>
    </cfRule>
    <cfRule type="cellIs" dxfId="127" priority="47" operator="equal">
      <formula>"A"</formula>
    </cfRule>
    <cfRule type="cellIs" dxfId="126" priority="48" operator="equal">
      <formula>"R"</formula>
    </cfRule>
  </conditionalFormatting>
  <conditionalFormatting sqref="AO1">
    <cfRule type="cellIs" dxfId="125" priority="43" operator="equal">
      <formula>"G"</formula>
    </cfRule>
    <cfRule type="cellIs" dxfId="124" priority="44" operator="equal">
      <formula>"A"</formula>
    </cfRule>
    <cfRule type="cellIs" dxfId="123" priority="45" operator="equal">
      <formula>"R"</formula>
    </cfRule>
  </conditionalFormatting>
  <conditionalFormatting sqref="AO1">
    <cfRule type="cellIs" dxfId="122" priority="40" operator="equal">
      <formula>"G"</formula>
    </cfRule>
    <cfRule type="cellIs" dxfId="121" priority="41" operator="equal">
      <formula>"A"</formula>
    </cfRule>
    <cfRule type="cellIs" dxfId="120" priority="42" operator="equal">
      <formula>"R"</formula>
    </cfRule>
  </conditionalFormatting>
  <conditionalFormatting sqref="AO1">
    <cfRule type="cellIs" dxfId="119" priority="37" operator="equal">
      <formula>"G"</formula>
    </cfRule>
    <cfRule type="cellIs" dxfId="118" priority="38" operator="equal">
      <formula>"A"</formula>
    </cfRule>
    <cfRule type="cellIs" dxfId="117" priority="39" operator="equal">
      <formula>"R"</formula>
    </cfRule>
  </conditionalFormatting>
  <conditionalFormatting sqref="AO1">
    <cfRule type="cellIs" dxfId="116" priority="34" operator="equal">
      <formula>"G"</formula>
    </cfRule>
    <cfRule type="cellIs" dxfId="115" priority="35" operator="equal">
      <formula>"A"</formula>
    </cfRule>
    <cfRule type="cellIs" dxfId="114" priority="36" operator="equal">
      <formula>"R"</formula>
    </cfRule>
  </conditionalFormatting>
  <conditionalFormatting sqref="AO1">
    <cfRule type="cellIs" dxfId="113" priority="31" operator="equal">
      <formula>"G"</formula>
    </cfRule>
    <cfRule type="cellIs" dxfId="112" priority="32" operator="equal">
      <formula>"A"</formula>
    </cfRule>
    <cfRule type="cellIs" dxfId="111" priority="33" operator="equal">
      <formula>"R"</formula>
    </cfRule>
  </conditionalFormatting>
  <conditionalFormatting sqref="AO1">
    <cfRule type="cellIs" dxfId="110" priority="28" operator="equal">
      <formula>"G"</formula>
    </cfRule>
    <cfRule type="cellIs" dxfId="109" priority="29" operator="equal">
      <formula>"A"</formula>
    </cfRule>
    <cfRule type="cellIs" dxfId="108" priority="30" operator="equal">
      <formula>"R"</formula>
    </cfRule>
  </conditionalFormatting>
  <conditionalFormatting sqref="AO1">
    <cfRule type="cellIs" dxfId="107" priority="25" operator="equal">
      <formula>"G"</formula>
    </cfRule>
    <cfRule type="cellIs" dxfId="106" priority="26" operator="equal">
      <formula>"A"</formula>
    </cfRule>
    <cfRule type="cellIs" dxfId="105" priority="27" operator="equal">
      <formula>"R"</formula>
    </cfRule>
  </conditionalFormatting>
  <conditionalFormatting sqref="AO1">
    <cfRule type="cellIs" dxfId="104" priority="22" operator="equal">
      <formula>"G"</formula>
    </cfRule>
    <cfRule type="cellIs" dxfId="103" priority="23" operator="equal">
      <formula>"A"</formula>
    </cfRule>
    <cfRule type="cellIs" dxfId="102" priority="24" operator="equal">
      <formula>"R"</formula>
    </cfRule>
  </conditionalFormatting>
  <conditionalFormatting sqref="AO1">
    <cfRule type="cellIs" dxfId="101" priority="19" operator="equal">
      <formula>"G"</formula>
    </cfRule>
    <cfRule type="cellIs" dxfId="100" priority="20" operator="equal">
      <formula>"A"</formula>
    </cfRule>
    <cfRule type="cellIs" dxfId="99" priority="21" operator="equal">
      <formula>"R"</formula>
    </cfRule>
  </conditionalFormatting>
  <conditionalFormatting sqref="AO1">
    <cfRule type="cellIs" dxfId="98" priority="16" operator="equal">
      <formula>"G"</formula>
    </cfRule>
    <cfRule type="cellIs" dxfId="97" priority="17" operator="equal">
      <formula>"A"</formula>
    </cfRule>
    <cfRule type="cellIs" dxfId="96" priority="18" operator="equal">
      <formula>"R"</formula>
    </cfRule>
  </conditionalFormatting>
  <conditionalFormatting sqref="AO1">
    <cfRule type="cellIs" dxfId="95" priority="13" operator="equal">
      <formula>"G"</formula>
    </cfRule>
    <cfRule type="cellIs" dxfId="94" priority="14" operator="equal">
      <formula>"A"</formula>
    </cfRule>
    <cfRule type="cellIs" dxfId="93" priority="15" operator="equal">
      <formula>"R"</formula>
    </cfRule>
  </conditionalFormatting>
  <conditionalFormatting sqref="AO1">
    <cfRule type="cellIs" dxfId="92" priority="10" operator="equal">
      <formula>"G"</formula>
    </cfRule>
    <cfRule type="cellIs" dxfId="91" priority="11" operator="equal">
      <formula>"A"</formula>
    </cfRule>
    <cfRule type="cellIs" dxfId="90" priority="12" operator="equal">
      <formula>"R"</formula>
    </cfRule>
  </conditionalFormatting>
  <conditionalFormatting sqref="AO1">
    <cfRule type="cellIs" dxfId="89" priority="7" operator="equal">
      <formula>"G"</formula>
    </cfRule>
    <cfRule type="cellIs" dxfId="88" priority="8" operator="equal">
      <formula>"A"</formula>
    </cfRule>
    <cfRule type="cellIs" dxfId="87" priority="9" operator="equal">
      <formula>"R"</formula>
    </cfRule>
  </conditionalFormatting>
  <conditionalFormatting sqref="AO1">
    <cfRule type="cellIs" dxfId="86" priority="4" operator="equal">
      <formula>"G"</formula>
    </cfRule>
    <cfRule type="cellIs" dxfId="85" priority="5" operator="equal">
      <formula>"A"</formula>
    </cfRule>
    <cfRule type="cellIs" dxfId="84" priority="6" operator="equal">
      <formula>"R"</formula>
    </cfRule>
  </conditionalFormatting>
  <conditionalFormatting sqref="AO1">
    <cfRule type="cellIs" dxfId="83" priority="1" operator="equal">
      <formula>"G"</formula>
    </cfRule>
    <cfRule type="cellIs" dxfId="82" priority="2" operator="equal">
      <formula>"A"</formula>
    </cfRule>
    <cfRule type="cellIs" dxfId="81" priority="3" operator="equal">
      <formula>"R"</formula>
    </cfRule>
  </conditionalFormatting>
  <dataValidations count="2">
    <dataValidation type="list" allowBlank="1" showInputMessage="1" showErrorMessage="1" sqref="AL1">
      <formula1>"OXO,SDV,Prod Def, Cen Ops"</formula1>
    </dataValidation>
    <dataValidation type="list" allowBlank="1" showInputMessage="1" showErrorMessage="1" sqref="AO1">
      <formula1>"R,A,G"</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Q1"/>
  <sheetViews>
    <sheetView topLeftCell="B1" workbookViewId="0">
      <selection activeCell="B6" sqref="B6"/>
    </sheetView>
  </sheetViews>
  <sheetFormatPr defaultColWidth="9.125" defaultRowHeight="13.5" x14ac:dyDescent="0.15"/>
  <cols>
    <col min="1" max="1" width="9.125" style="26" hidden="1" customWidth="1"/>
    <col min="2" max="2" width="11.625" style="26" customWidth="1"/>
    <col min="3" max="3" width="10.625" style="26" customWidth="1"/>
    <col min="4" max="4" width="13.875" style="26" bestFit="1" customWidth="1"/>
    <col min="5" max="6" width="9.875" style="26" bestFit="1" customWidth="1"/>
    <col min="7" max="13" width="9.875" style="26" customWidth="1"/>
    <col min="14" max="14" width="10.875" style="26" customWidth="1"/>
    <col min="15" max="15" width="12.625" style="26" customWidth="1"/>
    <col min="16" max="16" width="22.625" style="26" customWidth="1"/>
    <col min="17" max="24" width="8.875" style="26" bestFit="1" customWidth="1"/>
    <col min="25" max="36" width="8.875" style="26" customWidth="1"/>
    <col min="37" max="37" width="28" style="26" bestFit="1" customWidth="1"/>
    <col min="38" max="38" width="11.5" style="26" customWidth="1"/>
    <col min="39" max="39" width="12.625" style="26" bestFit="1" customWidth="1"/>
    <col min="40" max="40" width="26.5" style="26" bestFit="1" customWidth="1"/>
    <col min="41" max="41" width="11" style="26" customWidth="1"/>
    <col min="42" max="42" width="15.375" style="26" bestFit="1" customWidth="1"/>
    <col min="43" max="43" width="15.5" style="26" bestFit="1" customWidth="1"/>
    <col min="44" max="16384" width="9.125" style="26"/>
  </cols>
  <sheetData>
    <row r="1" spans="1:43" ht="29.25" customHeight="1" x14ac:dyDescent="0.15">
      <c r="A1" s="17" t="s">
        <v>172</v>
      </c>
      <c r="B1" s="18" t="s">
        <v>115</v>
      </c>
      <c r="C1" s="18" t="s">
        <v>173</v>
      </c>
      <c r="D1" s="18" t="s">
        <v>174</v>
      </c>
      <c r="E1" s="18" t="s">
        <v>175</v>
      </c>
      <c r="F1" s="18" t="s">
        <v>176</v>
      </c>
      <c r="G1" s="18" t="s">
        <v>177</v>
      </c>
      <c r="H1" s="18" t="s">
        <v>178</v>
      </c>
      <c r="I1" s="18" t="s">
        <v>179</v>
      </c>
      <c r="J1" s="18" t="s">
        <v>180</v>
      </c>
      <c r="K1" s="18" t="s">
        <v>181</v>
      </c>
      <c r="L1" s="18" t="s">
        <v>182</v>
      </c>
      <c r="M1" s="18" t="s">
        <v>183</v>
      </c>
      <c r="N1" s="18" t="s">
        <v>184</v>
      </c>
      <c r="O1" s="18" t="s">
        <v>185</v>
      </c>
      <c r="P1" s="18" t="s">
        <v>186</v>
      </c>
      <c r="Q1" s="18" t="s">
        <v>187</v>
      </c>
      <c r="R1" s="18" t="s">
        <v>188</v>
      </c>
      <c r="S1" s="18" t="s">
        <v>189</v>
      </c>
      <c r="T1" s="18" t="s">
        <v>190</v>
      </c>
      <c r="U1" s="18" t="s">
        <v>191</v>
      </c>
      <c r="V1" s="18" t="s">
        <v>192</v>
      </c>
      <c r="W1" s="18" t="s">
        <v>193</v>
      </c>
      <c r="X1" s="18" t="s">
        <v>194</v>
      </c>
      <c r="Y1" s="18" t="s">
        <v>195</v>
      </c>
      <c r="Z1" s="18" t="s">
        <v>196</v>
      </c>
      <c r="AA1" s="18" t="s">
        <v>197</v>
      </c>
      <c r="AB1" s="18" t="s">
        <v>198</v>
      </c>
      <c r="AC1" s="18" t="s">
        <v>199</v>
      </c>
      <c r="AD1" s="18" t="s">
        <v>200</v>
      </c>
      <c r="AE1" s="18" t="s">
        <v>201</v>
      </c>
      <c r="AF1" s="18" t="s">
        <v>202</v>
      </c>
      <c r="AG1" s="18" t="s">
        <v>203</v>
      </c>
      <c r="AH1" s="18" t="s">
        <v>204</v>
      </c>
      <c r="AI1" s="18" t="s">
        <v>205</v>
      </c>
      <c r="AJ1" s="18" t="s">
        <v>206</v>
      </c>
      <c r="AK1" s="19" t="s">
        <v>207</v>
      </c>
      <c r="AL1" s="19" t="s">
        <v>208</v>
      </c>
      <c r="AM1" s="19" t="s">
        <v>209</v>
      </c>
      <c r="AN1" s="19" t="s">
        <v>210</v>
      </c>
      <c r="AO1" s="19" t="s">
        <v>211</v>
      </c>
      <c r="AP1" s="19" t="s">
        <v>212</v>
      </c>
      <c r="AQ1" s="19" t="s">
        <v>213</v>
      </c>
    </row>
  </sheetData>
  <phoneticPr fontId="12" type="noConversion"/>
  <conditionalFormatting sqref="AO1:AP1">
    <cfRule type="cellIs" dxfId="80" priority="76" operator="equal">
      <formula>"G"</formula>
    </cfRule>
    <cfRule type="cellIs" dxfId="79" priority="77" operator="equal">
      <formula>"A"</formula>
    </cfRule>
    <cfRule type="cellIs" dxfId="78" priority="78" operator="equal">
      <formula>"R"</formula>
    </cfRule>
  </conditionalFormatting>
  <conditionalFormatting sqref="AO1">
    <cfRule type="cellIs" dxfId="77" priority="73" operator="equal">
      <formula>"G"</formula>
    </cfRule>
    <cfRule type="cellIs" dxfId="76" priority="74" operator="equal">
      <formula>"A"</formula>
    </cfRule>
    <cfRule type="cellIs" dxfId="75" priority="75" operator="equal">
      <formula>"R"</formula>
    </cfRule>
  </conditionalFormatting>
  <conditionalFormatting sqref="AO1">
    <cfRule type="cellIs" dxfId="74" priority="70" operator="equal">
      <formula>"G"</formula>
    </cfRule>
    <cfRule type="cellIs" dxfId="73" priority="71" operator="equal">
      <formula>"A"</formula>
    </cfRule>
    <cfRule type="cellIs" dxfId="72" priority="72" operator="equal">
      <formula>"R"</formula>
    </cfRule>
  </conditionalFormatting>
  <conditionalFormatting sqref="AO1">
    <cfRule type="cellIs" dxfId="71" priority="67" operator="equal">
      <formula>"G"</formula>
    </cfRule>
    <cfRule type="cellIs" dxfId="70" priority="68" operator="equal">
      <formula>"A"</formula>
    </cfRule>
    <cfRule type="cellIs" dxfId="69" priority="69" operator="equal">
      <formula>"R"</formula>
    </cfRule>
  </conditionalFormatting>
  <conditionalFormatting sqref="AO1">
    <cfRule type="cellIs" dxfId="68" priority="64" operator="equal">
      <formula>"G"</formula>
    </cfRule>
    <cfRule type="cellIs" dxfId="67" priority="65" operator="equal">
      <formula>"A"</formula>
    </cfRule>
    <cfRule type="cellIs" dxfId="66" priority="66" operator="equal">
      <formula>"R"</formula>
    </cfRule>
  </conditionalFormatting>
  <conditionalFormatting sqref="AO1">
    <cfRule type="cellIs" dxfId="65" priority="61" operator="equal">
      <formula>"G"</formula>
    </cfRule>
    <cfRule type="cellIs" dxfId="64" priority="62" operator="equal">
      <formula>"A"</formula>
    </cfRule>
    <cfRule type="cellIs" dxfId="63" priority="63" operator="equal">
      <formula>"R"</formula>
    </cfRule>
  </conditionalFormatting>
  <conditionalFormatting sqref="AO1">
    <cfRule type="cellIs" dxfId="62" priority="58" operator="equal">
      <formula>"G"</formula>
    </cfRule>
    <cfRule type="cellIs" dxfId="61" priority="59" operator="equal">
      <formula>"A"</formula>
    </cfRule>
    <cfRule type="cellIs" dxfId="60" priority="60" operator="equal">
      <formula>"R"</formula>
    </cfRule>
  </conditionalFormatting>
  <conditionalFormatting sqref="AO1">
    <cfRule type="cellIs" dxfId="59" priority="55" operator="equal">
      <formula>"G"</formula>
    </cfRule>
    <cfRule type="cellIs" dxfId="58" priority="56" operator="equal">
      <formula>"A"</formula>
    </cfRule>
    <cfRule type="cellIs" dxfId="57" priority="57" operator="equal">
      <formula>"R"</formula>
    </cfRule>
  </conditionalFormatting>
  <conditionalFormatting sqref="AO1">
    <cfRule type="cellIs" dxfId="56" priority="52" operator="equal">
      <formula>"G"</formula>
    </cfRule>
    <cfRule type="cellIs" dxfId="55" priority="53" operator="equal">
      <formula>"A"</formula>
    </cfRule>
    <cfRule type="cellIs" dxfId="54" priority="54" operator="equal">
      <formula>"R"</formula>
    </cfRule>
  </conditionalFormatting>
  <conditionalFormatting sqref="AO1">
    <cfRule type="cellIs" dxfId="53" priority="49" operator="equal">
      <formula>"G"</formula>
    </cfRule>
    <cfRule type="cellIs" dxfId="52" priority="50" operator="equal">
      <formula>"A"</formula>
    </cfRule>
    <cfRule type="cellIs" dxfId="51" priority="51" operator="equal">
      <formula>"R"</formula>
    </cfRule>
  </conditionalFormatting>
  <conditionalFormatting sqref="AO1">
    <cfRule type="cellIs" dxfId="50" priority="46" operator="equal">
      <formula>"G"</formula>
    </cfRule>
    <cfRule type="cellIs" dxfId="49" priority="47" operator="equal">
      <formula>"A"</formula>
    </cfRule>
    <cfRule type="cellIs" dxfId="48" priority="48" operator="equal">
      <formula>"R"</formula>
    </cfRule>
  </conditionalFormatting>
  <conditionalFormatting sqref="AO1">
    <cfRule type="cellIs" dxfId="47" priority="43" operator="equal">
      <formula>"G"</formula>
    </cfRule>
    <cfRule type="cellIs" dxfId="46" priority="44" operator="equal">
      <formula>"A"</formula>
    </cfRule>
    <cfRule type="cellIs" dxfId="45" priority="45" operator="equal">
      <formula>"R"</formula>
    </cfRule>
  </conditionalFormatting>
  <conditionalFormatting sqref="AO1">
    <cfRule type="cellIs" dxfId="44" priority="40" operator="equal">
      <formula>"G"</formula>
    </cfRule>
    <cfRule type="cellIs" dxfId="43" priority="41" operator="equal">
      <formula>"A"</formula>
    </cfRule>
    <cfRule type="cellIs" dxfId="42" priority="42" operator="equal">
      <formula>"R"</formula>
    </cfRule>
  </conditionalFormatting>
  <conditionalFormatting sqref="AO1">
    <cfRule type="cellIs" dxfId="41" priority="37" operator="equal">
      <formula>"G"</formula>
    </cfRule>
    <cfRule type="cellIs" dxfId="40" priority="38" operator="equal">
      <formula>"A"</formula>
    </cfRule>
    <cfRule type="cellIs" dxfId="39" priority="39" operator="equal">
      <formula>"R"</formula>
    </cfRule>
  </conditionalFormatting>
  <conditionalFormatting sqref="AO1">
    <cfRule type="cellIs" dxfId="38" priority="34" operator="equal">
      <formula>"G"</formula>
    </cfRule>
    <cfRule type="cellIs" dxfId="37" priority="35" operator="equal">
      <formula>"A"</formula>
    </cfRule>
    <cfRule type="cellIs" dxfId="36" priority="36" operator="equal">
      <formula>"R"</formula>
    </cfRule>
  </conditionalFormatting>
  <conditionalFormatting sqref="AO1">
    <cfRule type="cellIs" dxfId="35" priority="31" operator="equal">
      <formula>"G"</formula>
    </cfRule>
    <cfRule type="cellIs" dxfId="34" priority="32" operator="equal">
      <formula>"A"</formula>
    </cfRule>
    <cfRule type="cellIs" dxfId="33" priority="33" operator="equal">
      <formula>"R"</formula>
    </cfRule>
  </conditionalFormatting>
  <conditionalFormatting sqref="AO1">
    <cfRule type="cellIs" dxfId="32" priority="28" operator="equal">
      <formula>"G"</formula>
    </cfRule>
    <cfRule type="cellIs" dxfId="31" priority="29" operator="equal">
      <formula>"A"</formula>
    </cfRule>
    <cfRule type="cellIs" dxfId="30" priority="30" operator="equal">
      <formula>"R"</formula>
    </cfRule>
  </conditionalFormatting>
  <conditionalFormatting sqref="AO1">
    <cfRule type="cellIs" dxfId="29" priority="25" operator="equal">
      <formula>"G"</formula>
    </cfRule>
    <cfRule type="cellIs" dxfId="28" priority="26" operator="equal">
      <formula>"A"</formula>
    </cfRule>
    <cfRule type="cellIs" dxfId="27" priority="27" operator="equal">
      <formula>"R"</formula>
    </cfRule>
  </conditionalFormatting>
  <conditionalFormatting sqref="AO1">
    <cfRule type="cellIs" dxfId="26" priority="22" operator="equal">
      <formula>"G"</formula>
    </cfRule>
    <cfRule type="cellIs" dxfId="25" priority="23" operator="equal">
      <formula>"A"</formula>
    </cfRule>
    <cfRule type="cellIs" dxfId="24" priority="24" operator="equal">
      <formula>"R"</formula>
    </cfRule>
  </conditionalFormatting>
  <conditionalFormatting sqref="AO1">
    <cfRule type="cellIs" dxfId="23" priority="19" operator="equal">
      <formula>"G"</formula>
    </cfRule>
    <cfRule type="cellIs" dxfId="22" priority="20" operator="equal">
      <formula>"A"</formula>
    </cfRule>
    <cfRule type="cellIs" dxfId="21" priority="21" operator="equal">
      <formula>"R"</formula>
    </cfRule>
  </conditionalFormatting>
  <conditionalFormatting sqref="AO1">
    <cfRule type="cellIs" dxfId="20" priority="16" operator="equal">
      <formula>"G"</formula>
    </cfRule>
    <cfRule type="cellIs" dxfId="19" priority="17" operator="equal">
      <formula>"A"</formula>
    </cfRule>
    <cfRule type="cellIs" dxfId="18" priority="18" operator="equal">
      <formula>"R"</formula>
    </cfRule>
  </conditionalFormatting>
  <conditionalFormatting sqref="AO1">
    <cfRule type="cellIs" dxfId="17" priority="13" operator="equal">
      <formula>"G"</formula>
    </cfRule>
    <cfRule type="cellIs" dxfId="16" priority="14" operator="equal">
      <formula>"A"</formula>
    </cfRule>
    <cfRule type="cellIs" dxfId="15" priority="15" operator="equal">
      <formula>"R"</formula>
    </cfRule>
  </conditionalFormatting>
  <conditionalFormatting sqref="AO1">
    <cfRule type="cellIs" dxfId="14" priority="10" operator="equal">
      <formula>"G"</formula>
    </cfRule>
    <cfRule type="cellIs" dxfId="13" priority="11" operator="equal">
      <formula>"A"</formula>
    </cfRule>
    <cfRule type="cellIs" dxfId="12" priority="12" operator="equal">
      <formula>"R"</formula>
    </cfRule>
  </conditionalFormatting>
  <conditionalFormatting sqref="AO1">
    <cfRule type="cellIs" dxfId="11" priority="7" operator="equal">
      <formula>"G"</formula>
    </cfRule>
    <cfRule type="cellIs" dxfId="10" priority="8" operator="equal">
      <formula>"A"</formula>
    </cfRule>
    <cfRule type="cellIs" dxfId="9" priority="9" operator="equal">
      <formula>"R"</formula>
    </cfRule>
  </conditionalFormatting>
  <conditionalFormatting sqref="AO1">
    <cfRule type="cellIs" dxfId="8" priority="4" operator="equal">
      <formula>"G"</formula>
    </cfRule>
    <cfRule type="cellIs" dxfId="7" priority="5" operator="equal">
      <formula>"A"</formula>
    </cfRule>
    <cfRule type="cellIs" dxfId="6" priority="6" operator="equal">
      <formula>"R"</formula>
    </cfRule>
  </conditionalFormatting>
  <conditionalFormatting sqref="AO1">
    <cfRule type="cellIs" dxfId="5" priority="1" operator="equal">
      <formula>"G"</formula>
    </cfRule>
    <cfRule type="cellIs" dxfId="4" priority="2" operator="equal">
      <formula>"A"</formula>
    </cfRule>
    <cfRule type="cellIs" dxfId="3" priority="3" operator="equal">
      <formula>"R"</formula>
    </cfRule>
  </conditionalFormatting>
  <dataValidations count="2">
    <dataValidation type="list" allowBlank="1" showInputMessage="1" showErrorMessage="1" sqref="AO1">
      <formula1>"R,A,G"</formula1>
    </dataValidation>
    <dataValidation type="list" allowBlank="1" showInputMessage="1" showErrorMessage="1" sqref="AL1">
      <formula1>"OXO,SDV,Prod Def, Cen Ops"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36"/>
  <sheetViews>
    <sheetView workbookViewId="0">
      <selection activeCell="B29" sqref="B29"/>
    </sheetView>
  </sheetViews>
  <sheetFormatPr defaultRowHeight="13.5" x14ac:dyDescent="0.15"/>
  <cols>
    <col min="1" max="1" width="19.625" style="16" bestFit="1" customWidth="1"/>
    <col min="2" max="2" width="11.375" bestFit="1" customWidth="1"/>
    <col min="3" max="3" width="10.5" bestFit="1" customWidth="1"/>
    <col min="5" max="5" width="16.125" bestFit="1" customWidth="1"/>
    <col min="6" max="6" width="15.125" bestFit="1" customWidth="1"/>
    <col min="7" max="7" width="14.5" bestFit="1" customWidth="1"/>
  </cols>
  <sheetData>
    <row r="1" spans="1:14" x14ac:dyDescent="0.15">
      <c r="A1" s="14" t="s">
        <v>122</v>
      </c>
      <c r="B1" s="13"/>
      <c r="C1" s="13"/>
      <c r="E1" s="20"/>
      <c r="F1" s="21"/>
      <c r="G1" s="21"/>
      <c r="H1" s="20" t="s">
        <v>523</v>
      </c>
      <c r="N1" s="20"/>
    </row>
    <row r="2" spans="1:14" x14ac:dyDescent="0.15">
      <c r="A2" s="15" t="s">
        <v>123</v>
      </c>
      <c r="E2" s="22" t="s">
        <v>214</v>
      </c>
      <c r="F2" s="22" t="s">
        <v>215</v>
      </c>
      <c r="G2" s="22" t="s">
        <v>216</v>
      </c>
      <c r="H2" t="s">
        <v>524</v>
      </c>
      <c r="N2" s="20"/>
    </row>
    <row r="3" spans="1:14" x14ac:dyDescent="0.15">
      <c r="A3" s="16" t="s">
        <v>124</v>
      </c>
      <c r="C3" s="26"/>
      <c r="H3" t="s">
        <v>525</v>
      </c>
      <c r="N3" s="20"/>
    </row>
    <row r="4" spans="1:14" x14ac:dyDescent="0.15">
      <c r="A4" s="16" t="s">
        <v>125</v>
      </c>
      <c r="C4" s="26"/>
      <c r="E4" t="s">
        <v>217</v>
      </c>
      <c r="F4" t="s">
        <v>218</v>
      </c>
      <c r="G4" t="s">
        <v>219</v>
      </c>
      <c r="H4" t="s">
        <v>525</v>
      </c>
      <c r="N4" s="20"/>
    </row>
    <row r="5" spans="1:14" x14ac:dyDescent="0.15">
      <c r="A5" s="16" t="s">
        <v>126</v>
      </c>
      <c r="C5" s="26"/>
      <c r="E5" t="s">
        <v>220</v>
      </c>
      <c r="F5" t="s">
        <v>221</v>
      </c>
      <c r="G5" t="s">
        <v>222</v>
      </c>
      <c r="H5" t="s">
        <v>525</v>
      </c>
      <c r="N5" s="20"/>
    </row>
    <row r="6" spans="1:14" x14ac:dyDescent="0.15">
      <c r="A6" s="16" t="s">
        <v>127</v>
      </c>
      <c r="C6" s="26"/>
      <c r="H6" t="s">
        <v>525</v>
      </c>
      <c r="N6" s="20"/>
    </row>
    <row r="7" spans="1:14" x14ac:dyDescent="0.15">
      <c r="A7" s="16" t="s">
        <v>128</v>
      </c>
      <c r="C7" s="26"/>
      <c r="E7" t="s">
        <v>223</v>
      </c>
      <c r="F7" t="s">
        <v>224</v>
      </c>
      <c r="G7" t="s">
        <v>225</v>
      </c>
      <c r="H7" t="s">
        <v>525</v>
      </c>
      <c r="N7" s="20"/>
    </row>
    <row r="8" spans="1:14" x14ac:dyDescent="0.15">
      <c r="A8" s="16" t="s">
        <v>129</v>
      </c>
      <c r="C8" s="26"/>
      <c r="E8" t="s">
        <v>226</v>
      </c>
      <c r="F8" t="s">
        <v>227</v>
      </c>
      <c r="G8" t="s">
        <v>228</v>
      </c>
      <c r="H8" t="s">
        <v>525</v>
      </c>
      <c r="N8" s="20"/>
    </row>
    <row r="9" spans="1:14" x14ac:dyDescent="0.15">
      <c r="A9" s="16" t="s">
        <v>130</v>
      </c>
      <c r="C9" s="26"/>
      <c r="H9" t="s">
        <v>526</v>
      </c>
      <c r="N9" s="20"/>
    </row>
    <row r="10" spans="1:14" x14ac:dyDescent="0.15">
      <c r="A10" s="16" t="s">
        <v>131</v>
      </c>
      <c r="C10" s="26"/>
      <c r="H10" t="s">
        <v>526</v>
      </c>
      <c r="N10" s="20"/>
    </row>
    <row r="11" spans="1:14" x14ac:dyDescent="0.15">
      <c r="A11" s="16" t="s">
        <v>132</v>
      </c>
      <c r="C11" s="26"/>
      <c r="E11" t="s">
        <v>229</v>
      </c>
      <c r="F11" t="s">
        <v>230</v>
      </c>
      <c r="G11" t="s">
        <v>231</v>
      </c>
      <c r="H11" t="s">
        <v>525</v>
      </c>
      <c r="N11" s="20"/>
    </row>
    <row r="12" spans="1:14" x14ac:dyDescent="0.15">
      <c r="A12" s="16" t="s">
        <v>133</v>
      </c>
      <c r="C12" s="26"/>
      <c r="E12" t="s">
        <v>232</v>
      </c>
      <c r="F12" t="s">
        <v>233</v>
      </c>
      <c r="G12" t="s">
        <v>234</v>
      </c>
      <c r="H12" t="s">
        <v>525</v>
      </c>
      <c r="N12" s="20"/>
    </row>
    <row r="13" spans="1:14" x14ac:dyDescent="0.15">
      <c r="A13" s="16" t="s">
        <v>134</v>
      </c>
      <c r="C13" s="26"/>
      <c r="H13" t="s">
        <v>525</v>
      </c>
      <c r="N13" s="20"/>
    </row>
    <row r="14" spans="1:14" x14ac:dyDescent="0.15">
      <c r="A14" s="16" t="s">
        <v>135</v>
      </c>
      <c r="C14" s="26"/>
      <c r="E14" t="s">
        <v>235</v>
      </c>
      <c r="F14" t="s">
        <v>236</v>
      </c>
      <c r="G14" t="s">
        <v>237</v>
      </c>
      <c r="H14" t="s">
        <v>526</v>
      </c>
      <c r="N14" s="20"/>
    </row>
    <row r="15" spans="1:14" x14ac:dyDescent="0.15">
      <c r="A15" s="16" t="s">
        <v>136</v>
      </c>
      <c r="C15" s="26"/>
      <c r="E15" t="s">
        <v>238</v>
      </c>
      <c r="F15" t="s">
        <v>239</v>
      </c>
      <c r="G15" t="s">
        <v>240</v>
      </c>
      <c r="H15" t="s">
        <v>525</v>
      </c>
      <c r="N15" s="20"/>
    </row>
    <row r="16" spans="1:14" x14ac:dyDescent="0.15">
      <c r="A16" s="16" t="s">
        <v>137</v>
      </c>
      <c r="C16" s="26"/>
      <c r="E16" t="s">
        <v>241</v>
      </c>
      <c r="G16" t="s">
        <v>242</v>
      </c>
      <c r="H16" t="s">
        <v>525</v>
      </c>
      <c r="N16" s="20"/>
    </row>
    <row r="17" spans="1:14" x14ac:dyDescent="0.15">
      <c r="A17" s="16" t="s">
        <v>138</v>
      </c>
      <c r="C17" s="26"/>
      <c r="H17" t="s">
        <v>526</v>
      </c>
      <c r="N17" s="20"/>
    </row>
    <row r="18" spans="1:14" x14ac:dyDescent="0.15">
      <c r="A18" s="16" t="s">
        <v>139</v>
      </c>
      <c r="C18" s="26"/>
      <c r="E18" t="s">
        <v>243</v>
      </c>
      <c r="F18" t="s">
        <v>244</v>
      </c>
      <c r="G18" t="s">
        <v>245</v>
      </c>
      <c r="H18" t="s">
        <v>525</v>
      </c>
      <c r="N18" s="20"/>
    </row>
    <row r="19" spans="1:14" x14ac:dyDescent="0.15">
      <c r="A19" s="16" t="s">
        <v>140</v>
      </c>
      <c r="C19" s="26"/>
      <c r="H19" t="s">
        <v>526</v>
      </c>
      <c r="N19" s="20"/>
    </row>
    <row r="20" spans="1:14" x14ac:dyDescent="0.15">
      <c r="A20" s="16" t="s">
        <v>141</v>
      </c>
      <c r="C20" s="26"/>
      <c r="H20" t="s">
        <v>526</v>
      </c>
      <c r="N20" s="20"/>
    </row>
    <row r="21" spans="1:14" x14ac:dyDescent="0.15">
      <c r="A21" s="16" t="s">
        <v>142</v>
      </c>
      <c r="C21" s="26"/>
      <c r="E21" t="s">
        <v>232</v>
      </c>
      <c r="F21" t="s">
        <v>233</v>
      </c>
      <c r="G21" t="s">
        <v>234</v>
      </c>
      <c r="H21" t="s">
        <v>525</v>
      </c>
      <c r="N21" s="20"/>
    </row>
    <row r="22" spans="1:14" x14ac:dyDescent="0.15">
      <c r="A22" s="16" t="s">
        <v>143</v>
      </c>
      <c r="C22" s="26"/>
      <c r="E22" t="s">
        <v>246</v>
      </c>
      <c r="F22" t="s">
        <v>247</v>
      </c>
      <c r="G22" t="s">
        <v>248</v>
      </c>
      <c r="H22" t="s">
        <v>525</v>
      </c>
      <c r="N22" s="20"/>
    </row>
    <row r="23" spans="1:14" x14ac:dyDescent="0.15">
      <c r="A23" s="16" t="s">
        <v>144</v>
      </c>
      <c r="C23" s="26"/>
      <c r="H23" t="s">
        <v>525</v>
      </c>
      <c r="N23" s="20"/>
    </row>
    <row r="24" spans="1:14" x14ac:dyDescent="0.15">
      <c r="A24" s="16" t="s">
        <v>145</v>
      </c>
      <c r="C24" s="26"/>
      <c r="H24" t="s">
        <v>525</v>
      </c>
      <c r="N24" s="20"/>
    </row>
    <row r="25" spans="1:14" x14ac:dyDescent="0.15">
      <c r="A25" s="16" t="s">
        <v>146</v>
      </c>
      <c r="C25" s="26"/>
      <c r="H25" t="s">
        <v>526</v>
      </c>
      <c r="N25" s="20"/>
    </row>
    <row r="26" spans="1:14" ht="14.25" thickBot="1" x14ac:dyDescent="0.2">
      <c r="A26" s="16" t="s">
        <v>147</v>
      </c>
      <c r="C26" s="26"/>
      <c r="H26" t="s">
        <v>526</v>
      </c>
      <c r="N26" s="20"/>
    </row>
    <row r="27" spans="1:14" ht="14.25" thickBot="1" x14ac:dyDescent="0.2">
      <c r="A27" s="16" t="s">
        <v>148</v>
      </c>
      <c r="C27" s="26"/>
      <c r="E27" s="23" t="s">
        <v>249</v>
      </c>
      <c r="F27" s="24" t="s">
        <v>250</v>
      </c>
      <c r="G27" s="25" t="s">
        <v>251</v>
      </c>
      <c r="H27" t="s">
        <v>525</v>
      </c>
      <c r="N27" s="20"/>
    </row>
    <row r="28" spans="1:14" x14ac:dyDescent="0.15">
      <c r="A28" s="16" t="s">
        <v>149</v>
      </c>
      <c r="C28" s="26"/>
      <c r="E28" t="s">
        <v>252</v>
      </c>
      <c r="F28" t="s">
        <v>253</v>
      </c>
      <c r="G28" t="s">
        <v>254</v>
      </c>
      <c r="H28" t="s">
        <v>525</v>
      </c>
      <c r="N28" s="20"/>
    </row>
    <row r="29" spans="1:14" x14ac:dyDescent="0.15">
      <c r="A29" s="16" t="s">
        <v>150</v>
      </c>
      <c r="C29" s="26"/>
      <c r="E29" t="s">
        <v>255</v>
      </c>
      <c r="F29" t="s">
        <v>256</v>
      </c>
      <c r="G29" t="s">
        <v>257</v>
      </c>
      <c r="H29" t="s">
        <v>526</v>
      </c>
      <c r="N29" s="20"/>
    </row>
    <row r="30" spans="1:14" x14ac:dyDescent="0.15">
      <c r="A30" s="16" t="s">
        <v>151</v>
      </c>
      <c r="C30" s="26"/>
      <c r="E30" t="s">
        <v>258</v>
      </c>
      <c r="F30" t="s">
        <v>259</v>
      </c>
      <c r="G30" t="s">
        <v>260</v>
      </c>
      <c r="H30" t="s">
        <v>525</v>
      </c>
      <c r="N30" s="20"/>
    </row>
    <row r="31" spans="1:14" x14ac:dyDescent="0.15">
      <c r="A31" s="16" t="s">
        <v>152</v>
      </c>
      <c r="C31" s="26"/>
      <c r="H31" t="s">
        <v>526</v>
      </c>
      <c r="N31" s="20"/>
    </row>
    <row r="32" spans="1:14" x14ac:dyDescent="0.15">
      <c r="A32" s="16" t="s">
        <v>153</v>
      </c>
      <c r="C32" s="26"/>
      <c r="E32" t="s">
        <v>261</v>
      </c>
      <c r="F32" t="s">
        <v>262</v>
      </c>
      <c r="G32" t="s">
        <v>263</v>
      </c>
      <c r="H32" t="s">
        <v>526</v>
      </c>
      <c r="N32" s="20"/>
    </row>
    <row r="33" spans="1:14" x14ac:dyDescent="0.15">
      <c r="A33" s="16" t="s">
        <v>154</v>
      </c>
      <c r="C33" s="26"/>
      <c r="E33" t="s">
        <v>264</v>
      </c>
      <c r="F33" t="s">
        <v>265</v>
      </c>
      <c r="G33" t="s">
        <v>266</v>
      </c>
      <c r="H33" t="s">
        <v>525</v>
      </c>
      <c r="N33" s="20"/>
    </row>
    <row r="34" spans="1:14" x14ac:dyDescent="0.15">
      <c r="A34" s="16" t="s">
        <v>155</v>
      </c>
      <c r="C34" s="26"/>
      <c r="H34" t="s">
        <v>525</v>
      </c>
      <c r="N34" s="20"/>
    </row>
    <row r="35" spans="1:14" x14ac:dyDescent="0.15">
      <c r="A35" s="16" t="s">
        <v>156</v>
      </c>
      <c r="C35" s="26"/>
      <c r="H35" t="s">
        <v>525</v>
      </c>
      <c r="N35" s="20"/>
    </row>
    <row r="36" spans="1:14" x14ac:dyDescent="0.15">
      <c r="A36" s="16" t="s">
        <v>157</v>
      </c>
      <c r="C36" s="26"/>
      <c r="E36" t="s">
        <v>267</v>
      </c>
      <c r="F36" t="s">
        <v>268</v>
      </c>
      <c r="G36" t="s">
        <v>269</v>
      </c>
      <c r="H36" t="s">
        <v>525</v>
      </c>
      <c r="N36" s="20"/>
    </row>
    <row r="37" spans="1:14" x14ac:dyDescent="0.15">
      <c r="A37" s="16" t="s">
        <v>158</v>
      </c>
      <c r="C37" s="26"/>
      <c r="H37" t="s">
        <v>525</v>
      </c>
      <c r="N37" s="20"/>
    </row>
    <row r="38" spans="1:14" x14ac:dyDescent="0.15">
      <c r="A38" s="16" t="s">
        <v>159</v>
      </c>
      <c r="C38" s="26"/>
      <c r="E38" t="s">
        <v>270</v>
      </c>
      <c r="F38" t="s">
        <v>271</v>
      </c>
      <c r="G38" t="s">
        <v>272</v>
      </c>
      <c r="H38" t="s">
        <v>525</v>
      </c>
      <c r="N38" s="20"/>
    </row>
    <row r="39" spans="1:14" x14ac:dyDescent="0.15">
      <c r="A39" s="16" t="s">
        <v>160</v>
      </c>
      <c r="C39" s="26"/>
      <c r="E39" t="s">
        <v>223</v>
      </c>
      <c r="F39" t="s">
        <v>224</v>
      </c>
      <c r="G39" t="s">
        <v>225</v>
      </c>
      <c r="H39" t="s">
        <v>525</v>
      </c>
      <c r="N39" s="20"/>
    </row>
    <row r="40" spans="1:14" x14ac:dyDescent="0.15">
      <c r="A40" s="16" t="s">
        <v>161</v>
      </c>
      <c r="C40" s="26"/>
      <c r="H40" t="s">
        <v>525</v>
      </c>
      <c r="N40" s="20"/>
    </row>
    <row r="41" spans="1:14" x14ac:dyDescent="0.15">
      <c r="A41" s="16" t="s">
        <v>162</v>
      </c>
      <c r="C41" s="26"/>
      <c r="H41" t="s">
        <v>526</v>
      </c>
      <c r="N41" s="20"/>
    </row>
    <row r="42" spans="1:14" x14ac:dyDescent="0.15">
      <c r="A42" s="16" t="s">
        <v>163</v>
      </c>
      <c r="C42" s="26"/>
      <c r="H42" t="s">
        <v>525</v>
      </c>
      <c r="N42" s="20"/>
    </row>
    <row r="43" spans="1:14" ht="14.25" thickBot="1" x14ac:dyDescent="0.2">
      <c r="A43" s="16" t="s">
        <v>164</v>
      </c>
      <c r="C43" s="26"/>
      <c r="H43" t="s">
        <v>525</v>
      </c>
      <c r="N43" s="20"/>
    </row>
    <row r="44" spans="1:14" ht="14.25" thickBot="1" x14ac:dyDescent="0.2">
      <c r="A44" s="16" t="s">
        <v>165</v>
      </c>
      <c r="B44" s="20"/>
      <c r="C44" s="26"/>
      <c r="E44" s="23" t="s">
        <v>249</v>
      </c>
      <c r="F44" s="24" t="s">
        <v>250</v>
      </c>
      <c r="G44" s="25" t="s">
        <v>251</v>
      </c>
      <c r="H44" t="s">
        <v>525</v>
      </c>
      <c r="N44" s="20"/>
    </row>
    <row r="45" spans="1:14" x14ac:dyDescent="0.15">
      <c r="A45" s="15" t="s">
        <v>167</v>
      </c>
      <c r="C45" s="26"/>
      <c r="E45" t="s">
        <v>273</v>
      </c>
      <c r="F45" t="s">
        <v>274</v>
      </c>
      <c r="G45" t="s">
        <v>275</v>
      </c>
      <c r="H45" t="s">
        <v>525</v>
      </c>
      <c r="N45" s="20"/>
    </row>
    <row r="46" spans="1:14" x14ac:dyDescent="0.15">
      <c r="A46" s="15" t="s">
        <v>168</v>
      </c>
      <c r="C46" s="26"/>
      <c r="E46" t="s">
        <v>276</v>
      </c>
      <c r="F46" t="s">
        <v>277</v>
      </c>
      <c r="G46" t="s">
        <v>278</v>
      </c>
      <c r="H46" t="s">
        <v>525</v>
      </c>
      <c r="N46" s="20"/>
    </row>
    <row r="47" spans="1:14" x14ac:dyDescent="0.15">
      <c r="A47" s="15" t="s">
        <v>169</v>
      </c>
      <c r="C47" s="26"/>
      <c r="E47" t="s">
        <v>279</v>
      </c>
      <c r="F47" t="s">
        <v>280</v>
      </c>
      <c r="G47" t="s">
        <v>281</v>
      </c>
      <c r="H47" t="s">
        <v>525</v>
      </c>
      <c r="N47" s="20"/>
    </row>
    <row r="48" spans="1:14" x14ac:dyDescent="0.15">
      <c r="A48" s="15" t="s">
        <v>170</v>
      </c>
      <c r="C48" s="26"/>
      <c r="E48" t="s">
        <v>282</v>
      </c>
      <c r="F48" t="s">
        <v>283</v>
      </c>
      <c r="G48" t="s">
        <v>284</v>
      </c>
      <c r="H48" t="s">
        <v>525</v>
      </c>
      <c r="N48" s="20"/>
    </row>
    <row r="49" spans="1:14" x14ac:dyDescent="0.15">
      <c r="A49" s="16" t="s">
        <v>166</v>
      </c>
      <c r="C49" s="26"/>
      <c r="E49" t="s">
        <v>285</v>
      </c>
      <c r="F49" t="s">
        <v>286</v>
      </c>
      <c r="G49" t="s">
        <v>287</v>
      </c>
      <c r="H49" t="s">
        <v>525</v>
      </c>
      <c r="N49" s="20"/>
    </row>
    <row r="50" spans="1:14" x14ac:dyDescent="0.15">
      <c r="A50" s="15" t="s">
        <v>171</v>
      </c>
      <c r="C50" s="26"/>
      <c r="H50" t="s">
        <v>525</v>
      </c>
      <c r="N50" s="20"/>
    </row>
    <row r="51" spans="1:14" x14ac:dyDescent="0.15">
      <c r="A51" s="16" t="s">
        <v>527</v>
      </c>
      <c r="C51" s="26"/>
      <c r="H51" t="s">
        <v>525</v>
      </c>
      <c r="N51" s="20"/>
    </row>
    <row r="52" spans="1:14" x14ac:dyDescent="0.15">
      <c r="C52" s="26"/>
      <c r="H52" t="s">
        <v>525</v>
      </c>
      <c r="N52" s="20"/>
    </row>
    <row r="53" spans="1:14" x14ac:dyDescent="0.15">
      <c r="C53" s="26"/>
      <c r="H53" t="s">
        <v>526</v>
      </c>
      <c r="N53" s="20"/>
    </row>
    <row r="54" spans="1:14" x14ac:dyDescent="0.15">
      <c r="C54" s="26"/>
      <c r="E54" t="s">
        <v>288</v>
      </c>
      <c r="F54" t="s">
        <v>289</v>
      </c>
      <c r="G54" t="s">
        <v>290</v>
      </c>
      <c r="H54" t="s">
        <v>525</v>
      </c>
      <c r="N54" s="20"/>
    </row>
    <row r="55" spans="1:14" x14ac:dyDescent="0.15">
      <c r="C55" s="26"/>
      <c r="E55" t="s">
        <v>291</v>
      </c>
      <c r="F55" t="s">
        <v>292</v>
      </c>
      <c r="G55" t="s">
        <v>293</v>
      </c>
      <c r="H55" t="s">
        <v>525</v>
      </c>
      <c r="N55" s="20"/>
    </row>
    <row r="56" spans="1:14" x14ac:dyDescent="0.15">
      <c r="C56" s="26"/>
      <c r="E56" t="s">
        <v>294</v>
      </c>
      <c r="F56" t="s">
        <v>295</v>
      </c>
      <c r="G56" t="s">
        <v>296</v>
      </c>
      <c r="H56" t="s">
        <v>525</v>
      </c>
      <c r="N56" s="20"/>
    </row>
    <row r="57" spans="1:14" x14ac:dyDescent="0.15">
      <c r="C57" s="26"/>
      <c r="H57" t="s">
        <v>525</v>
      </c>
      <c r="N57" s="20"/>
    </row>
    <row r="58" spans="1:14" x14ac:dyDescent="0.15">
      <c r="C58" s="26"/>
      <c r="E58" t="s">
        <v>297</v>
      </c>
      <c r="F58" t="s">
        <v>298</v>
      </c>
      <c r="G58" t="s">
        <v>299</v>
      </c>
      <c r="H58" t="s">
        <v>526</v>
      </c>
      <c r="N58" s="20"/>
    </row>
    <row r="59" spans="1:14" x14ac:dyDescent="0.15">
      <c r="C59" s="26"/>
      <c r="E59" t="s">
        <v>297</v>
      </c>
      <c r="F59" t="s">
        <v>298</v>
      </c>
      <c r="G59" t="s">
        <v>299</v>
      </c>
      <c r="H59" t="s">
        <v>526</v>
      </c>
      <c r="N59" s="20"/>
    </row>
    <row r="60" spans="1:14" x14ac:dyDescent="0.15">
      <c r="C60" s="26"/>
      <c r="E60" t="s">
        <v>238</v>
      </c>
      <c r="F60" t="s">
        <v>239</v>
      </c>
      <c r="G60" t="s">
        <v>240</v>
      </c>
      <c r="H60" t="s">
        <v>525</v>
      </c>
      <c r="N60" s="20"/>
    </row>
    <row r="61" spans="1:14" x14ac:dyDescent="0.15">
      <c r="C61" s="26"/>
      <c r="E61" t="s">
        <v>300</v>
      </c>
      <c r="F61" t="s">
        <v>301</v>
      </c>
      <c r="G61" t="s">
        <v>302</v>
      </c>
      <c r="H61" t="s">
        <v>525</v>
      </c>
      <c r="N61" s="20"/>
    </row>
    <row r="62" spans="1:14" x14ac:dyDescent="0.15">
      <c r="C62" s="26"/>
      <c r="H62" t="s">
        <v>525</v>
      </c>
      <c r="N62" s="20"/>
    </row>
    <row r="63" spans="1:14" x14ac:dyDescent="0.15">
      <c r="C63" s="26"/>
      <c r="H63" t="s">
        <v>526</v>
      </c>
      <c r="N63" s="20"/>
    </row>
    <row r="64" spans="1:14" x14ac:dyDescent="0.15">
      <c r="C64" s="26"/>
      <c r="E64" t="s">
        <v>303</v>
      </c>
      <c r="F64" t="s">
        <v>304</v>
      </c>
      <c r="G64" t="s">
        <v>305</v>
      </c>
      <c r="H64" t="s">
        <v>525</v>
      </c>
      <c r="N64" s="20"/>
    </row>
    <row r="65" spans="3:14" x14ac:dyDescent="0.15">
      <c r="C65" s="26"/>
      <c r="H65" t="s">
        <v>526</v>
      </c>
      <c r="N65" s="20"/>
    </row>
    <row r="66" spans="3:14" x14ac:dyDescent="0.15">
      <c r="C66" s="26"/>
      <c r="E66" t="s">
        <v>306</v>
      </c>
      <c r="G66" t="s">
        <v>307</v>
      </c>
      <c r="H66" t="s">
        <v>525</v>
      </c>
      <c r="N66" s="20"/>
    </row>
    <row r="67" spans="3:14" x14ac:dyDescent="0.15">
      <c r="C67" s="26"/>
      <c r="E67" t="s">
        <v>308</v>
      </c>
      <c r="F67" t="s">
        <v>309</v>
      </c>
      <c r="G67" t="s">
        <v>310</v>
      </c>
      <c r="H67" t="s">
        <v>525</v>
      </c>
      <c r="N67" s="20"/>
    </row>
    <row r="68" spans="3:14" x14ac:dyDescent="0.15">
      <c r="C68" s="26"/>
      <c r="H68" t="s">
        <v>525</v>
      </c>
      <c r="N68" s="20"/>
    </row>
    <row r="69" spans="3:14" x14ac:dyDescent="0.15">
      <c r="C69" s="26"/>
      <c r="H69" t="s">
        <v>525</v>
      </c>
      <c r="N69" s="20"/>
    </row>
    <row r="70" spans="3:14" x14ac:dyDescent="0.15">
      <c r="C70" s="26"/>
      <c r="H70" t="s">
        <v>525</v>
      </c>
      <c r="N70" s="20"/>
    </row>
    <row r="71" spans="3:14" x14ac:dyDescent="0.15">
      <c r="C71" s="26"/>
      <c r="E71" t="s">
        <v>311</v>
      </c>
      <c r="F71" t="s">
        <v>312</v>
      </c>
      <c r="G71" t="s">
        <v>313</v>
      </c>
      <c r="H71" t="s">
        <v>525</v>
      </c>
      <c r="N71" s="20"/>
    </row>
    <row r="72" spans="3:14" x14ac:dyDescent="0.15">
      <c r="C72" s="26"/>
      <c r="H72" t="s">
        <v>525</v>
      </c>
      <c r="N72" s="20"/>
    </row>
    <row r="73" spans="3:14" x14ac:dyDescent="0.15">
      <c r="C73" s="26"/>
      <c r="E73" t="s">
        <v>314</v>
      </c>
      <c r="G73" t="s">
        <v>315</v>
      </c>
      <c r="H73" t="s">
        <v>526</v>
      </c>
      <c r="N73" s="20"/>
    </row>
    <row r="74" spans="3:14" x14ac:dyDescent="0.15">
      <c r="C74" s="26"/>
      <c r="H74" t="s">
        <v>525</v>
      </c>
      <c r="N74" s="20"/>
    </row>
    <row r="75" spans="3:14" x14ac:dyDescent="0.15">
      <c r="C75" s="26"/>
      <c r="H75" t="s">
        <v>526</v>
      </c>
      <c r="N75" s="20"/>
    </row>
    <row r="76" spans="3:14" x14ac:dyDescent="0.15">
      <c r="C76" s="26"/>
      <c r="E76" t="s">
        <v>311</v>
      </c>
      <c r="F76" t="s">
        <v>312</v>
      </c>
      <c r="G76" t="s">
        <v>313</v>
      </c>
      <c r="H76" t="s">
        <v>525</v>
      </c>
      <c r="N76" s="20"/>
    </row>
    <row r="77" spans="3:14" x14ac:dyDescent="0.15">
      <c r="C77" s="26"/>
      <c r="E77" t="s">
        <v>316</v>
      </c>
      <c r="F77" t="s">
        <v>317</v>
      </c>
      <c r="G77" t="s">
        <v>318</v>
      </c>
      <c r="H77" t="s">
        <v>525</v>
      </c>
      <c r="N77" s="20"/>
    </row>
    <row r="78" spans="3:14" x14ac:dyDescent="0.15">
      <c r="C78" s="26"/>
      <c r="H78" t="s">
        <v>525</v>
      </c>
      <c r="N78" s="20"/>
    </row>
    <row r="79" spans="3:14" x14ac:dyDescent="0.15">
      <c r="C79" s="26"/>
      <c r="H79" t="s">
        <v>525</v>
      </c>
      <c r="N79" s="20"/>
    </row>
    <row r="80" spans="3:14" x14ac:dyDescent="0.15">
      <c r="C80" s="26"/>
      <c r="H80" t="s">
        <v>525</v>
      </c>
      <c r="N80" s="20"/>
    </row>
    <row r="81" spans="2:14" x14ac:dyDescent="0.15">
      <c r="C81" s="26"/>
      <c r="E81" t="s">
        <v>319</v>
      </c>
      <c r="F81" t="s">
        <v>320</v>
      </c>
      <c r="G81" t="s">
        <v>321</v>
      </c>
      <c r="H81" t="s">
        <v>525</v>
      </c>
      <c r="N81" s="20"/>
    </row>
    <row r="82" spans="2:14" x14ac:dyDescent="0.15">
      <c r="C82" s="26"/>
      <c r="E82" t="s">
        <v>322</v>
      </c>
      <c r="F82" t="s">
        <v>323</v>
      </c>
      <c r="G82" t="s">
        <v>324</v>
      </c>
      <c r="H82" t="s">
        <v>525</v>
      </c>
      <c r="N82" s="20"/>
    </row>
    <row r="83" spans="2:14" x14ac:dyDescent="0.15">
      <c r="B83" s="20"/>
      <c r="C83" s="26"/>
      <c r="E83" t="s">
        <v>325</v>
      </c>
      <c r="F83" t="s">
        <v>326</v>
      </c>
      <c r="G83" t="s">
        <v>327</v>
      </c>
      <c r="H83" t="s">
        <v>525</v>
      </c>
      <c r="N83" s="20"/>
    </row>
    <row r="84" spans="2:14" x14ac:dyDescent="0.15">
      <c r="C84" s="26"/>
      <c r="E84" t="s">
        <v>328</v>
      </c>
      <c r="F84" t="s">
        <v>329</v>
      </c>
      <c r="G84" t="s">
        <v>330</v>
      </c>
      <c r="H84" t="s">
        <v>525</v>
      </c>
    </row>
    <row r="85" spans="2:14" x14ac:dyDescent="0.15">
      <c r="C85" s="26"/>
      <c r="E85" t="s">
        <v>331</v>
      </c>
      <c r="F85" t="s">
        <v>332</v>
      </c>
      <c r="G85" t="s">
        <v>333</v>
      </c>
      <c r="H85" t="s">
        <v>525</v>
      </c>
    </row>
    <row r="86" spans="2:14" x14ac:dyDescent="0.15">
      <c r="C86" s="26"/>
      <c r="H86" t="s">
        <v>525</v>
      </c>
    </row>
    <row r="87" spans="2:14" x14ac:dyDescent="0.15">
      <c r="C87" s="26"/>
      <c r="H87" t="s">
        <v>526</v>
      </c>
    </row>
    <row r="88" spans="2:14" x14ac:dyDescent="0.15">
      <c r="C88" s="26"/>
      <c r="E88" t="s">
        <v>316</v>
      </c>
      <c r="F88" t="s">
        <v>317</v>
      </c>
      <c r="G88" t="s">
        <v>318</v>
      </c>
      <c r="H88" t="s">
        <v>525</v>
      </c>
    </row>
    <row r="89" spans="2:14" x14ac:dyDescent="0.15">
      <c r="C89" s="26"/>
      <c r="E89" t="s">
        <v>334</v>
      </c>
      <c r="F89" t="s">
        <v>335</v>
      </c>
      <c r="G89" t="s">
        <v>336</v>
      </c>
      <c r="H89" t="s">
        <v>525</v>
      </c>
    </row>
    <row r="90" spans="2:14" x14ac:dyDescent="0.15">
      <c r="C90" s="26"/>
      <c r="E90" t="s">
        <v>337</v>
      </c>
      <c r="F90" t="s">
        <v>338</v>
      </c>
      <c r="G90" t="s">
        <v>339</v>
      </c>
      <c r="H90" t="s">
        <v>525</v>
      </c>
    </row>
    <row r="91" spans="2:14" x14ac:dyDescent="0.15">
      <c r="C91" s="26"/>
      <c r="H91" t="s">
        <v>525</v>
      </c>
    </row>
    <row r="92" spans="2:14" x14ac:dyDescent="0.15">
      <c r="C92" s="26"/>
      <c r="H92" t="s">
        <v>525</v>
      </c>
    </row>
    <row r="93" spans="2:14" x14ac:dyDescent="0.15">
      <c r="C93" s="26"/>
      <c r="H93" t="s">
        <v>526</v>
      </c>
    </row>
    <row r="94" spans="2:14" x14ac:dyDescent="0.15">
      <c r="C94" s="26"/>
      <c r="H94" t="s">
        <v>525</v>
      </c>
    </row>
    <row r="95" spans="2:14" x14ac:dyDescent="0.15">
      <c r="C95" s="26"/>
      <c r="E95" t="s">
        <v>337</v>
      </c>
      <c r="F95" t="s">
        <v>338</v>
      </c>
      <c r="G95" t="s">
        <v>339</v>
      </c>
      <c r="H95" t="s">
        <v>525</v>
      </c>
    </row>
    <row r="96" spans="2:14" x14ac:dyDescent="0.15">
      <c r="C96" s="26"/>
      <c r="E96" t="s">
        <v>340</v>
      </c>
      <c r="F96" t="s">
        <v>341</v>
      </c>
      <c r="G96" t="s">
        <v>342</v>
      </c>
      <c r="H96" t="s">
        <v>526</v>
      </c>
    </row>
    <row r="97" spans="3:8" x14ac:dyDescent="0.15">
      <c r="C97" s="26"/>
      <c r="E97" t="s">
        <v>343</v>
      </c>
      <c r="F97" t="s">
        <v>344</v>
      </c>
      <c r="G97" t="s">
        <v>345</v>
      </c>
      <c r="H97" t="s">
        <v>525</v>
      </c>
    </row>
    <row r="98" spans="3:8" x14ac:dyDescent="0.15">
      <c r="C98" s="26"/>
      <c r="E98" t="s">
        <v>346</v>
      </c>
      <c r="F98" t="s">
        <v>347</v>
      </c>
      <c r="G98" t="s">
        <v>348</v>
      </c>
      <c r="H98" t="s">
        <v>525</v>
      </c>
    </row>
    <row r="99" spans="3:8" x14ac:dyDescent="0.15">
      <c r="C99" s="26"/>
      <c r="E99" t="s">
        <v>349</v>
      </c>
      <c r="F99" t="s">
        <v>350</v>
      </c>
      <c r="G99" t="s">
        <v>351</v>
      </c>
      <c r="H99" t="s">
        <v>526</v>
      </c>
    </row>
    <row r="100" spans="3:8" x14ac:dyDescent="0.15">
      <c r="C100" s="26"/>
      <c r="E100" t="s">
        <v>352</v>
      </c>
      <c r="F100" t="s">
        <v>353</v>
      </c>
      <c r="G100" t="s">
        <v>354</v>
      </c>
      <c r="H100" t="s">
        <v>526</v>
      </c>
    </row>
    <row r="101" spans="3:8" x14ac:dyDescent="0.15">
      <c r="C101" s="26"/>
      <c r="E101" t="s">
        <v>355</v>
      </c>
      <c r="F101" t="s">
        <v>356</v>
      </c>
      <c r="G101" t="s">
        <v>357</v>
      </c>
      <c r="H101" t="s">
        <v>525</v>
      </c>
    </row>
    <row r="102" spans="3:8" x14ac:dyDescent="0.15">
      <c r="C102" s="26"/>
      <c r="E102" t="s">
        <v>358</v>
      </c>
      <c r="F102" t="s">
        <v>359</v>
      </c>
      <c r="G102" t="s">
        <v>360</v>
      </c>
      <c r="H102" t="s">
        <v>525</v>
      </c>
    </row>
    <row r="103" spans="3:8" x14ac:dyDescent="0.15">
      <c r="C103" s="26"/>
      <c r="E103" t="s">
        <v>361</v>
      </c>
      <c r="F103" t="s">
        <v>362</v>
      </c>
      <c r="G103" t="s">
        <v>363</v>
      </c>
      <c r="H103" t="s">
        <v>526</v>
      </c>
    </row>
    <row r="104" spans="3:8" x14ac:dyDescent="0.15">
      <c r="C104" s="26"/>
      <c r="E104" t="s">
        <v>364</v>
      </c>
      <c r="F104" t="s">
        <v>365</v>
      </c>
      <c r="G104" t="s">
        <v>366</v>
      </c>
      <c r="H104" t="s">
        <v>525</v>
      </c>
    </row>
    <row r="105" spans="3:8" x14ac:dyDescent="0.15">
      <c r="C105" s="26"/>
      <c r="E105" t="s">
        <v>367</v>
      </c>
      <c r="F105" t="s">
        <v>368</v>
      </c>
      <c r="G105" t="s">
        <v>369</v>
      </c>
      <c r="H105" t="s">
        <v>525</v>
      </c>
    </row>
    <row r="106" spans="3:8" x14ac:dyDescent="0.15">
      <c r="C106" s="26"/>
      <c r="E106" t="s">
        <v>370</v>
      </c>
      <c r="F106" t="s">
        <v>371</v>
      </c>
      <c r="G106" t="s">
        <v>372</v>
      </c>
      <c r="H106" t="s">
        <v>526</v>
      </c>
    </row>
    <row r="107" spans="3:8" x14ac:dyDescent="0.15">
      <c r="C107" s="26"/>
      <c r="E107" t="s">
        <v>373</v>
      </c>
      <c r="F107" t="s">
        <v>374</v>
      </c>
      <c r="G107" t="s">
        <v>375</v>
      </c>
      <c r="H107" t="s">
        <v>526</v>
      </c>
    </row>
    <row r="108" spans="3:8" x14ac:dyDescent="0.15">
      <c r="C108" s="26"/>
      <c r="E108" t="s">
        <v>376</v>
      </c>
      <c r="F108" t="s">
        <v>377</v>
      </c>
      <c r="G108" t="s">
        <v>378</v>
      </c>
      <c r="H108" t="s">
        <v>525</v>
      </c>
    </row>
    <row r="109" spans="3:8" x14ac:dyDescent="0.15">
      <c r="C109" s="26"/>
      <c r="E109" t="s">
        <v>379</v>
      </c>
      <c r="F109" t="s">
        <v>380</v>
      </c>
      <c r="G109" t="s">
        <v>381</v>
      </c>
      <c r="H109" t="s">
        <v>525</v>
      </c>
    </row>
    <row r="110" spans="3:8" x14ac:dyDescent="0.15">
      <c r="C110" s="26"/>
      <c r="E110" t="s">
        <v>232</v>
      </c>
      <c r="F110" t="s">
        <v>233</v>
      </c>
      <c r="G110" t="s">
        <v>234</v>
      </c>
      <c r="H110" t="s">
        <v>525</v>
      </c>
    </row>
    <row r="111" spans="3:8" x14ac:dyDescent="0.15">
      <c r="C111" s="26"/>
      <c r="E111" t="s">
        <v>382</v>
      </c>
      <c r="F111" t="s">
        <v>383</v>
      </c>
      <c r="G111" t="s">
        <v>384</v>
      </c>
      <c r="H111" t="s">
        <v>526</v>
      </c>
    </row>
    <row r="112" spans="3:8" x14ac:dyDescent="0.15">
      <c r="C112" s="26"/>
      <c r="H112" t="s">
        <v>526</v>
      </c>
    </row>
    <row r="113" spans="2:8" x14ac:dyDescent="0.15">
      <c r="C113" s="26"/>
      <c r="H113" t="s">
        <v>525</v>
      </c>
    </row>
    <row r="114" spans="2:8" x14ac:dyDescent="0.15">
      <c r="C114" s="26"/>
      <c r="E114" t="s">
        <v>385</v>
      </c>
      <c r="F114" t="s">
        <v>386</v>
      </c>
      <c r="G114" t="s">
        <v>387</v>
      </c>
      <c r="H114" t="s">
        <v>525</v>
      </c>
    </row>
    <row r="115" spans="2:8" x14ac:dyDescent="0.15">
      <c r="C115" s="26"/>
      <c r="H115" t="s">
        <v>525</v>
      </c>
    </row>
    <row r="116" spans="2:8" x14ac:dyDescent="0.15">
      <c r="B116" s="20"/>
      <c r="C116" s="26"/>
      <c r="E116" t="s">
        <v>388</v>
      </c>
      <c r="F116" t="s">
        <v>389</v>
      </c>
      <c r="G116" t="s">
        <v>390</v>
      </c>
      <c r="H116" t="s">
        <v>525</v>
      </c>
    </row>
    <row r="117" spans="2:8" x14ac:dyDescent="0.15">
      <c r="C117" s="26"/>
      <c r="H117" t="s">
        <v>525</v>
      </c>
    </row>
    <row r="118" spans="2:8" x14ac:dyDescent="0.15">
      <c r="C118" s="26"/>
      <c r="E118" t="s">
        <v>391</v>
      </c>
      <c r="F118" t="s">
        <v>392</v>
      </c>
      <c r="G118" t="s">
        <v>393</v>
      </c>
      <c r="H118" t="s">
        <v>525</v>
      </c>
    </row>
    <row r="119" spans="2:8" x14ac:dyDescent="0.15">
      <c r="C119" s="26"/>
      <c r="E119" t="s">
        <v>311</v>
      </c>
      <c r="F119" t="s">
        <v>312</v>
      </c>
      <c r="G119" t="s">
        <v>313</v>
      </c>
      <c r="H119" t="s">
        <v>525</v>
      </c>
    </row>
    <row r="120" spans="2:8" x14ac:dyDescent="0.15">
      <c r="C120" s="26"/>
      <c r="E120" t="s">
        <v>394</v>
      </c>
      <c r="F120" t="s">
        <v>395</v>
      </c>
      <c r="G120" t="s">
        <v>396</v>
      </c>
      <c r="H120" t="s">
        <v>525</v>
      </c>
    </row>
    <row r="121" spans="2:8" x14ac:dyDescent="0.15">
      <c r="C121" s="26"/>
      <c r="H121" t="s">
        <v>526</v>
      </c>
    </row>
    <row r="122" spans="2:8" x14ac:dyDescent="0.15">
      <c r="B122" s="26"/>
      <c r="C122" s="26"/>
      <c r="H122" t="s">
        <v>525</v>
      </c>
    </row>
    <row r="123" spans="2:8" x14ac:dyDescent="0.15">
      <c r="C123" s="26"/>
      <c r="H123" t="s">
        <v>525</v>
      </c>
    </row>
    <row r="124" spans="2:8" x14ac:dyDescent="0.15">
      <c r="C124" s="26"/>
      <c r="E124" t="s">
        <v>397</v>
      </c>
      <c r="F124" t="s">
        <v>398</v>
      </c>
      <c r="G124" t="s">
        <v>399</v>
      </c>
      <c r="H124" t="s">
        <v>525</v>
      </c>
    </row>
    <row r="125" spans="2:8" x14ac:dyDescent="0.15">
      <c r="C125" s="26"/>
      <c r="E125" t="s">
        <v>311</v>
      </c>
      <c r="F125" t="s">
        <v>312</v>
      </c>
      <c r="G125" t="s">
        <v>313</v>
      </c>
      <c r="H125" t="s">
        <v>525</v>
      </c>
    </row>
    <row r="126" spans="2:8" x14ac:dyDescent="0.15">
      <c r="C126" s="26"/>
      <c r="E126" t="s">
        <v>246</v>
      </c>
      <c r="F126" t="s">
        <v>247</v>
      </c>
      <c r="G126" t="s">
        <v>248</v>
      </c>
      <c r="H126" t="s">
        <v>525</v>
      </c>
    </row>
    <row r="127" spans="2:8" x14ac:dyDescent="0.15">
      <c r="C127" s="26"/>
      <c r="E127" t="s">
        <v>340</v>
      </c>
      <c r="F127" t="s">
        <v>341</v>
      </c>
      <c r="G127" t="s">
        <v>342</v>
      </c>
      <c r="H127" t="s">
        <v>526</v>
      </c>
    </row>
    <row r="128" spans="2:8" x14ac:dyDescent="0.15">
      <c r="C128" s="26"/>
      <c r="E128" t="s">
        <v>400</v>
      </c>
      <c r="F128" t="s">
        <v>401</v>
      </c>
      <c r="G128" t="s">
        <v>402</v>
      </c>
      <c r="H128" t="s">
        <v>525</v>
      </c>
    </row>
    <row r="129" spans="3:8" x14ac:dyDescent="0.15">
      <c r="C129" s="26"/>
      <c r="H129" t="s">
        <v>525</v>
      </c>
    </row>
    <row r="130" spans="3:8" x14ac:dyDescent="0.15">
      <c r="C130" s="26"/>
      <c r="H130" t="s">
        <v>526</v>
      </c>
    </row>
    <row r="131" spans="3:8" x14ac:dyDescent="0.15">
      <c r="C131" s="26"/>
      <c r="E131" t="s">
        <v>403</v>
      </c>
      <c r="F131" t="s">
        <v>404</v>
      </c>
      <c r="G131" t="s">
        <v>405</v>
      </c>
      <c r="H131" t="s">
        <v>526</v>
      </c>
    </row>
    <row r="132" spans="3:8" x14ac:dyDescent="0.15">
      <c r="C132" s="26"/>
      <c r="H132" t="s">
        <v>526</v>
      </c>
    </row>
    <row r="133" spans="3:8" x14ac:dyDescent="0.15">
      <c r="C133" s="26"/>
      <c r="H133" t="s">
        <v>525</v>
      </c>
    </row>
    <row r="134" spans="3:8" x14ac:dyDescent="0.15">
      <c r="C134" s="26"/>
      <c r="E134" t="s">
        <v>406</v>
      </c>
      <c r="F134" t="s">
        <v>407</v>
      </c>
      <c r="G134" t="s">
        <v>408</v>
      </c>
      <c r="H134" t="s">
        <v>526</v>
      </c>
    </row>
    <row r="135" spans="3:8" x14ac:dyDescent="0.15">
      <c r="C135" s="26"/>
      <c r="H135" t="s">
        <v>525</v>
      </c>
    </row>
    <row r="136" spans="3:8" x14ac:dyDescent="0.15">
      <c r="C136" s="26"/>
      <c r="E136" t="s">
        <v>316</v>
      </c>
      <c r="F136" t="s">
        <v>317</v>
      </c>
      <c r="G136" t="s">
        <v>318</v>
      </c>
      <c r="H136" t="s">
        <v>525</v>
      </c>
    </row>
    <row r="137" spans="3:8" x14ac:dyDescent="0.15">
      <c r="C137" s="26"/>
      <c r="H137" t="s">
        <v>525</v>
      </c>
    </row>
    <row r="138" spans="3:8" x14ac:dyDescent="0.15">
      <c r="C138" s="26"/>
      <c r="E138" t="s">
        <v>409</v>
      </c>
      <c r="F138" t="s">
        <v>410</v>
      </c>
      <c r="G138" t="s">
        <v>411</v>
      </c>
      <c r="H138" t="s">
        <v>526</v>
      </c>
    </row>
    <row r="139" spans="3:8" x14ac:dyDescent="0.15">
      <c r="C139" s="26"/>
      <c r="H139" t="s">
        <v>525</v>
      </c>
    </row>
    <row r="140" spans="3:8" x14ac:dyDescent="0.15">
      <c r="C140" s="26"/>
      <c r="E140" t="s">
        <v>412</v>
      </c>
      <c r="F140" t="s">
        <v>413</v>
      </c>
      <c r="G140" t="s">
        <v>414</v>
      </c>
      <c r="H140" t="s">
        <v>525</v>
      </c>
    </row>
    <row r="141" spans="3:8" x14ac:dyDescent="0.15">
      <c r="C141" s="26"/>
      <c r="H141" t="s">
        <v>525</v>
      </c>
    </row>
    <row r="142" spans="3:8" x14ac:dyDescent="0.15">
      <c r="C142" s="26"/>
      <c r="E142" t="s">
        <v>415</v>
      </c>
      <c r="F142" t="s">
        <v>416</v>
      </c>
      <c r="G142" t="s">
        <v>417</v>
      </c>
      <c r="H142" t="s">
        <v>525</v>
      </c>
    </row>
    <row r="143" spans="3:8" x14ac:dyDescent="0.15">
      <c r="C143" s="26"/>
      <c r="E143" t="s">
        <v>316</v>
      </c>
      <c r="F143" t="s">
        <v>317</v>
      </c>
      <c r="G143" t="s">
        <v>318</v>
      </c>
      <c r="H143" t="s">
        <v>525</v>
      </c>
    </row>
    <row r="144" spans="3:8" x14ac:dyDescent="0.15">
      <c r="C144" s="26"/>
      <c r="E144" t="s">
        <v>418</v>
      </c>
      <c r="F144" t="s">
        <v>419</v>
      </c>
      <c r="G144" t="s">
        <v>420</v>
      </c>
      <c r="H144" t="s">
        <v>525</v>
      </c>
    </row>
    <row r="145" spans="3:8" x14ac:dyDescent="0.15">
      <c r="C145" s="26"/>
      <c r="H145" t="s">
        <v>525</v>
      </c>
    </row>
    <row r="146" spans="3:8" x14ac:dyDescent="0.15">
      <c r="C146" s="26"/>
      <c r="H146" t="s">
        <v>526</v>
      </c>
    </row>
    <row r="147" spans="3:8" x14ac:dyDescent="0.15">
      <c r="C147" s="26"/>
      <c r="E147" t="s">
        <v>421</v>
      </c>
      <c r="F147" t="s">
        <v>422</v>
      </c>
      <c r="G147" t="s">
        <v>423</v>
      </c>
      <c r="H147" t="s">
        <v>525</v>
      </c>
    </row>
    <row r="148" spans="3:8" x14ac:dyDescent="0.15">
      <c r="C148" s="26"/>
      <c r="E148" t="s">
        <v>382</v>
      </c>
      <c r="F148" t="s">
        <v>383</v>
      </c>
      <c r="G148" t="s">
        <v>384</v>
      </c>
      <c r="H148" t="s">
        <v>526</v>
      </c>
    </row>
    <row r="149" spans="3:8" x14ac:dyDescent="0.15">
      <c r="C149" s="26"/>
      <c r="E149" t="s">
        <v>391</v>
      </c>
      <c r="F149" t="s">
        <v>392</v>
      </c>
      <c r="G149" t="s">
        <v>393</v>
      </c>
      <c r="H149" t="s">
        <v>525</v>
      </c>
    </row>
    <row r="150" spans="3:8" x14ac:dyDescent="0.15">
      <c r="C150" s="26"/>
      <c r="E150" t="s">
        <v>255</v>
      </c>
      <c r="F150" t="s">
        <v>256</v>
      </c>
      <c r="G150" t="s">
        <v>257</v>
      </c>
      <c r="H150" t="s">
        <v>526</v>
      </c>
    </row>
    <row r="151" spans="3:8" x14ac:dyDescent="0.15">
      <c r="C151" s="26"/>
      <c r="H151" t="s">
        <v>525</v>
      </c>
    </row>
    <row r="152" spans="3:8" x14ac:dyDescent="0.15">
      <c r="C152" s="26"/>
      <c r="H152" t="s">
        <v>526</v>
      </c>
    </row>
    <row r="153" spans="3:8" x14ac:dyDescent="0.15">
      <c r="C153" s="26"/>
      <c r="E153" t="s">
        <v>424</v>
      </c>
      <c r="F153" t="s">
        <v>425</v>
      </c>
      <c r="G153" t="s">
        <v>426</v>
      </c>
      <c r="H153" t="s">
        <v>525</v>
      </c>
    </row>
    <row r="154" spans="3:8" x14ac:dyDescent="0.15">
      <c r="C154" s="26"/>
      <c r="H154" t="s">
        <v>525</v>
      </c>
    </row>
    <row r="155" spans="3:8" x14ac:dyDescent="0.15">
      <c r="C155" s="26"/>
      <c r="E155" t="s">
        <v>427</v>
      </c>
      <c r="F155" t="s">
        <v>428</v>
      </c>
      <c r="G155" t="s">
        <v>429</v>
      </c>
      <c r="H155" t="s">
        <v>525</v>
      </c>
    </row>
    <row r="156" spans="3:8" x14ac:dyDescent="0.15">
      <c r="C156" s="26"/>
      <c r="E156" t="s">
        <v>430</v>
      </c>
      <c r="F156" t="s">
        <v>431</v>
      </c>
      <c r="G156" t="s">
        <v>432</v>
      </c>
      <c r="H156" t="s">
        <v>526</v>
      </c>
    </row>
    <row r="157" spans="3:8" x14ac:dyDescent="0.15">
      <c r="C157" s="26"/>
      <c r="E157" t="s">
        <v>288</v>
      </c>
      <c r="F157" t="s">
        <v>289</v>
      </c>
      <c r="G157" t="s">
        <v>290</v>
      </c>
      <c r="H157" t="s">
        <v>525</v>
      </c>
    </row>
    <row r="158" spans="3:8" x14ac:dyDescent="0.15">
      <c r="C158" s="26"/>
      <c r="H158" t="s">
        <v>525</v>
      </c>
    </row>
    <row r="159" spans="3:8" x14ac:dyDescent="0.15">
      <c r="C159" s="26"/>
      <c r="E159" t="s">
        <v>291</v>
      </c>
      <c r="F159" t="s">
        <v>292</v>
      </c>
      <c r="G159" t="s">
        <v>293</v>
      </c>
      <c r="H159" t="s">
        <v>525</v>
      </c>
    </row>
    <row r="160" spans="3:8" x14ac:dyDescent="0.15">
      <c r="C160" s="26"/>
      <c r="H160" t="s">
        <v>526</v>
      </c>
    </row>
    <row r="161" spans="3:8" x14ac:dyDescent="0.15">
      <c r="C161" s="26"/>
      <c r="H161" t="s">
        <v>526</v>
      </c>
    </row>
    <row r="162" spans="3:8" x14ac:dyDescent="0.15">
      <c r="C162" s="26"/>
      <c r="H162" t="s">
        <v>525</v>
      </c>
    </row>
    <row r="163" spans="3:8" x14ac:dyDescent="0.15">
      <c r="C163" s="26"/>
      <c r="E163" t="s">
        <v>433</v>
      </c>
      <c r="F163" t="s">
        <v>434</v>
      </c>
      <c r="G163" t="s">
        <v>435</v>
      </c>
      <c r="H163" t="s">
        <v>525</v>
      </c>
    </row>
    <row r="164" spans="3:8" x14ac:dyDescent="0.15">
      <c r="C164" s="26"/>
      <c r="E164" t="s">
        <v>436</v>
      </c>
      <c r="F164" t="s">
        <v>437</v>
      </c>
      <c r="G164" t="s">
        <v>438</v>
      </c>
      <c r="H164" t="s">
        <v>525</v>
      </c>
    </row>
    <row r="165" spans="3:8" x14ac:dyDescent="0.15">
      <c r="C165" s="26"/>
      <c r="E165" t="s">
        <v>439</v>
      </c>
      <c r="F165" t="s">
        <v>440</v>
      </c>
      <c r="G165" t="s">
        <v>441</v>
      </c>
      <c r="H165" t="s">
        <v>526</v>
      </c>
    </row>
    <row r="166" spans="3:8" x14ac:dyDescent="0.15">
      <c r="C166" s="26"/>
      <c r="H166" t="s">
        <v>525</v>
      </c>
    </row>
    <row r="167" spans="3:8" x14ac:dyDescent="0.15">
      <c r="C167" s="26"/>
      <c r="E167" t="s">
        <v>364</v>
      </c>
      <c r="F167" t="s">
        <v>365</v>
      </c>
      <c r="G167" t="s">
        <v>366</v>
      </c>
      <c r="H167" t="s">
        <v>525</v>
      </c>
    </row>
    <row r="168" spans="3:8" x14ac:dyDescent="0.15">
      <c r="C168" s="26"/>
      <c r="E168" t="s">
        <v>442</v>
      </c>
      <c r="F168" t="s">
        <v>443</v>
      </c>
      <c r="G168" t="s">
        <v>444</v>
      </c>
      <c r="H168" t="s">
        <v>525</v>
      </c>
    </row>
    <row r="169" spans="3:8" x14ac:dyDescent="0.15">
      <c r="C169" s="26"/>
      <c r="H169" t="s">
        <v>526</v>
      </c>
    </row>
    <row r="170" spans="3:8" x14ac:dyDescent="0.15">
      <c r="C170" s="26"/>
      <c r="E170" t="s">
        <v>445</v>
      </c>
      <c r="F170" t="s">
        <v>446</v>
      </c>
      <c r="G170" t="s">
        <v>447</v>
      </c>
      <c r="H170" t="s">
        <v>525</v>
      </c>
    </row>
    <row r="171" spans="3:8" x14ac:dyDescent="0.15">
      <c r="C171" s="26"/>
      <c r="E171" t="s">
        <v>448</v>
      </c>
      <c r="F171" t="s">
        <v>449</v>
      </c>
      <c r="G171" t="s">
        <v>450</v>
      </c>
      <c r="H171" t="s">
        <v>525</v>
      </c>
    </row>
    <row r="172" spans="3:8" x14ac:dyDescent="0.15">
      <c r="C172" s="26"/>
      <c r="E172" t="s">
        <v>451</v>
      </c>
      <c r="F172" t="s">
        <v>452</v>
      </c>
      <c r="G172" t="s">
        <v>453</v>
      </c>
      <c r="H172" t="s">
        <v>525</v>
      </c>
    </row>
    <row r="173" spans="3:8" x14ac:dyDescent="0.15">
      <c r="C173" s="26"/>
      <c r="H173" t="s">
        <v>526</v>
      </c>
    </row>
    <row r="174" spans="3:8" x14ac:dyDescent="0.15">
      <c r="C174" s="26"/>
      <c r="E174" t="s">
        <v>454</v>
      </c>
      <c r="F174" t="s">
        <v>455</v>
      </c>
      <c r="G174" t="s">
        <v>456</v>
      </c>
      <c r="H174" t="s">
        <v>525</v>
      </c>
    </row>
    <row r="175" spans="3:8" x14ac:dyDescent="0.15">
      <c r="C175" s="26"/>
      <c r="E175" t="s">
        <v>457</v>
      </c>
      <c r="F175" t="s">
        <v>458</v>
      </c>
      <c r="G175" t="s">
        <v>459</v>
      </c>
      <c r="H175" t="s">
        <v>525</v>
      </c>
    </row>
    <row r="176" spans="3:8" x14ac:dyDescent="0.15">
      <c r="C176" s="26"/>
      <c r="E176" t="s">
        <v>334</v>
      </c>
      <c r="F176" t="s">
        <v>335</v>
      </c>
      <c r="G176" t="s">
        <v>336</v>
      </c>
      <c r="H176" t="s">
        <v>525</v>
      </c>
    </row>
    <row r="177" spans="3:8" x14ac:dyDescent="0.15">
      <c r="C177" s="26"/>
      <c r="E177" t="s">
        <v>460</v>
      </c>
      <c r="F177" t="s">
        <v>461</v>
      </c>
      <c r="G177" t="s">
        <v>462</v>
      </c>
      <c r="H177" t="s">
        <v>525</v>
      </c>
    </row>
    <row r="178" spans="3:8" x14ac:dyDescent="0.15">
      <c r="C178" s="26"/>
      <c r="E178" t="s">
        <v>316</v>
      </c>
      <c r="F178" t="s">
        <v>317</v>
      </c>
      <c r="G178" t="s">
        <v>318</v>
      </c>
      <c r="H178" t="s">
        <v>525</v>
      </c>
    </row>
    <row r="179" spans="3:8" x14ac:dyDescent="0.15">
      <c r="C179" s="26"/>
      <c r="E179" t="s">
        <v>463</v>
      </c>
      <c r="F179" t="s">
        <v>464</v>
      </c>
      <c r="G179" t="s">
        <v>465</v>
      </c>
      <c r="H179" t="s">
        <v>525</v>
      </c>
    </row>
    <row r="180" spans="3:8" x14ac:dyDescent="0.15">
      <c r="C180" s="26"/>
      <c r="E180" t="s">
        <v>232</v>
      </c>
      <c r="F180" t="s">
        <v>233</v>
      </c>
      <c r="G180" t="s">
        <v>234</v>
      </c>
      <c r="H180" t="s">
        <v>525</v>
      </c>
    </row>
    <row r="181" spans="3:8" x14ac:dyDescent="0.15">
      <c r="C181" s="26"/>
      <c r="H181" t="s">
        <v>525</v>
      </c>
    </row>
    <row r="182" spans="3:8" x14ac:dyDescent="0.15">
      <c r="C182" s="26"/>
      <c r="H182" t="s">
        <v>525</v>
      </c>
    </row>
    <row r="183" spans="3:8" x14ac:dyDescent="0.15">
      <c r="C183" s="26"/>
      <c r="H183" t="s">
        <v>526</v>
      </c>
    </row>
    <row r="184" spans="3:8" x14ac:dyDescent="0.15">
      <c r="C184" s="26"/>
      <c r="H184" t="s">
        <v>526</v>
      </c>
    </row>
    <row r="185" spans="3:8" x14ac:dyDescent="0.15">
      <c r="C185" s="26"/>
      <c r="H185" t="s">
        <v>526</v>
      </c>
    </row>
    <row r="186" spans="3:8" x14ac:dyDescent="0.15">
      <c r="C186" s="26"/>
      <c r="H186" t="s">
        <v>525</v>
      </c>
    </row>
    <row r="187" spans="3:8" x14ac:dyDescent="0.15">
      <c r="C187" s="26"/>
      <c r="H187" t="s">
        <v>526</v>
      </c>
    </row>
    <row r="188" spans="3:8" x14ac:dyDescent="0.15">
      <c r="C188" s="26"/>
      <c r="H188" t="s">
        <v>525</v>
      </c>
    </row>
    <row r="189" spans="3:8" x14ac:dyDescent="0.15">
      <c r="C189" s="26"/>
      <c r="H189" t="s">
        <v>525</v>
      </c>
    </row>
    <row r="190" spans="3:8" x14ac:dyDescent="0.15">
      <c r="C190" s="26"/>
      <c r="H190" t="s">
        <v>525</v>
      </c>
    </row>
    <row r="191" spans="3:8" x14ac:dyDescent="0.15">
      <c r="C191" s="26"/>
      <c r="E191" t="s">
        <v>466</v>
      </c>
      <c r="F191" t="s">
        <v>467</v>
      </c>
      <c r="G191" t="s">
        <v>468</v>
      </c>
      <c r="H191" t="s">
        <v>525</v>
      </c>
    </row>
    <row r="192" spans="3:8" x14ac:dyDescent="0.15">
      <c r="C192" s="26"/>
      <c r="E192" t="s">
        <v>291</v>
      </c>
      <c r="F192" t="s">
        <v>292</v>
      </c>
      <c r="G192" t="s">
        <v>293</v>
      </c>
      <c r="H192" t="s">
        <v>525</v>
      </c>
    </row>
    <row r="193" spans="3:8" x14ac:dyDescent="0.15">
      <c r="C193" s="26"/>
      <c r="E193" t="s">
        <v>469</v>
      </c>
      <c r="F193" t="s">
        <v>470</v>
      </c>
      <c r="G193" t="s">
        <v>471</v>
      </c>
      <c r="H193" t="s">
        <v>525</v>
      </c>
    </row>
    <row r="194" spans="3:8" x14ac:dyDescent="0.15">
      <c r="C194" s="26"/>
      <c r="H194" t="s">
        <v>526</v>
      </c>
    </row>
    <row r="195" spans="3:8" x14ac:dyDescent="0.15">
      <c r="C195" s="26"/>
      <c r="H195" t="s">
        <v>525</v>
      </c>
    </row>
    <row r="196" spans="3:8" x14ac:dyDescent="0.15">
      <c r="C196" s="26"/>
      <c r="E196" t="s">
        <v>472</v>
      </c>
      <c r="F196" t="s">
        <v>473</v>
      </c>
      <c r="G196" t="s">
        <v>474</v>
      </c>
      <c r="H196" t="s">
        <v>526</v>
      </c>
    </row>
    <row r="197" spans="3:8" x14ac:dyDescent="0.15">
      <c r="C197" s="26"/>
      <c r="E197" t="s">
        <v>475</v>
      </c>
      <c r="F197" t="s">
        <v>476</v>
      </c>
      <c r="G197" t="s">
        <v>477</v>
      </c>
      <c r="H197" t="s">
        <v>525</v>
      </c>
    </row>
    <row r="198" spans="3:8" x14ac:dyDescent="0.15">
      <c r="C198" s="26"/>
      <c r="E198" t="s">
        <v>478</v>
      </c>
      <c r="F198" t="s">
        <v>479</v>
      </c>
      <c r="G198" t="s">
        <v>480</v>
      </c>
      <c r="H198" t="s">
        <v>525</v>
      </c>
    </row>
    <row r="199" spans="3:8" x14ac:dyDescent="0.15">
      <c r="C199" s="26"/>
      <c r="H199" t="s">
        <v>526</v>
      </c>
    </row>
    <row r="200" spans="3:8" x14ac:dyDescent="0.15">
      <c r="C200" s="26"/>
      <c r="H200" t="s">
        <v>525</v>
      </c>
    </row>
    <row r="201" spans="3:8" x14ac:dyDescent="0.15">
      <c r="C201" s="26"/>
      <c r="E201" t="s">
        <v>255</v>
      </c>
      <c r="F201" t="s">
        <v>256</v>
      </c>
      <c r="G201" t="s">
        <v>257</v>
      </c>
      <c r="H201" t="s">
        <v>526</v>
      </c>
    </row>
    <row r="202" spans="3:8" x14ac:dyDescent="0.15">
      <c r="C202" s="26"/>
      <c r="E202" t="s">
        <v>223</v>
      </c>
      <c r="F202" t="s">
        <v>224</v>
      </c>
      <c r="G202" t="s">
        <v>225</v>
      </c>
      <c r="H202" t="s">
        <v>525</v>
      </c>
    </row>
    <row r="203" spans="3:8" x14ac:dyDescent="0.15">
      <c r="C203" s="26"/>
      <c r="E203" t="s">
        <v>481</v>
      </c>
      <c r="F203" t="s">
        <v>482</v>
      </c>
      <c r="G203" t="s">
        <v>483</v>
      </c>
      <c r="H203" t="s">
        <v>526</v>
      </c>
    </row>
    <row r="204" spans="3:8" x14ac:dyDescent="0.15">
      <c r="C204" s="26"/>
      <c r="H204" t="s">
        <v>525</v>
      </c>
    </row>
    <row r="205" spans="3:8" x14ac:dyDescent="0.15">
      <c r="C205" s="26"/>
      <c r="H205" t="s">
        <v>526</v>
      </c>
    </row>
    <row r="206" spans="3:8" x14ac:dyDescent="0.15">
      <c r="C206" s="26"/>
      <c r="H206" t="s">
        <v>526</v>
      </c>
    </row>
    <row r="207" spans="3:8" x14ac:dyDescent="0.15">
      <c r="C207" s="26"/>
      <c r="E207" t="s">
        <v>484</v>
      </c>
      <c r="F207" t="s">
        <v>485</v>
      </c>
      <c r="G207" t="s">
        <v>486</v>
      </c>
      <c r="H207" t="s">
        <v>525</v>
      </c>
    </row>
    <row r="208" spans="3:8" x14ac:dyDescent="0.15">
      <c r="C208" s="26"/>
      <c r="E208" t="s">
        <v>397</v>
      </c>
      <c r="F208" t="s">
        <v>398</v>
      </c>
      <c r="G208" t="s">
        <v>399</v>
      </c>
      <c r="H208" t="s">
        <v>525</v>
      </c>
    </row>
    <row r="209" spans="3:8" x14ac:dyDescent="0.15">
      <c r="C209" s="26"/>
      <c r="H209" t="s">
        <v>525</v>
      </c>
    </row>
    <row r="210" spans="3:8" x14ac:dyDescent="0.15">
      <c r="C210" s="26"/>
      <c r="H210" t="s">
        <v>525</v>
      </c>
    </row>
    <row r="211" spans="3:8" x14ac:dyDescent="0.15">
      <c r="C211" s="26"/>
      <c r="E211" t="s">
        <v>487</v>
      </c>
      <c r="F211" t="s">
        <v>488</v>
      </c>
      <c r="G211" t="s">
        <v>489</v>
      </c>
      <c r="H211" t="s">
        <v>525</v>
      </c>
    </row>
    <row r="212" spans="3:8" x14ac:dyDescent="0.15">
      <c r="C212" s="26"/>
      <c r="H212" t="s">
        <v>525</v>
      </c>
    </row>
    <row r="213" spans="3:8" x14ac:dyDescent="0.15">
      <c r="C213" s="26"/>
      <c r="E213" t="s">
        <v>490</v>
      </c>
      <c r="F213" t="s">
        <v>491</v>
      </c>
      <c r="G213" t="s">
        <v>492</v>
      </c>
      <c r="H213" t="s">
        <v>526</v>
      </c>
    </row>
    <row r="214" spans="3:8" x14ac:dyDescent="0.15">
      <c r="C214" s="26"/>
      <c r="E214" t="s">
        <v>493</v>
      </c>
      <c r="F214" t="s">
        <v>494</v>
      </c>
      <c r="G214" t="s">
        <v>495</v>
      </c>
      <c r="H214" t="s">
        <v>526</v>
      </c>
    </row>
    <row r="215" spans="3:8" x14ac:dyDescent="0.15">
      <c r="C215" s="26"/>
      <c r="H215" t="s">
        <v>525</v>
      </c>
    </row>
    <row r="216" spans="3:8" x14ac:dyDescent="0.15">
      <c r="C216" s="26"/>
      <c r="H216" t="s">
        <v>526</v>
      </c>
    </row>
    <row r="217" spans="3:8" x14ac:dyDescent="0.15">
      <c r="C217" s="26"/>
      <c r="H217" t="s">
        <v>526</v>
      </c>
    </row>
    <row r="218" spans="3:8" x14ac:dyDescent="0.15">
      <c r="C218" s="26"/>
      <c r="E218" t="s">
        <v>370</v>
      </c>
      <c r="F218" t="s">
        <v>371</v>
      </c>
      <c r="G218" t="s">
        <v>372</v>
      </c>
      <c r="H218" t="s">
        <v>526</v>
      </c>
    </row>
    <row r="219" spans="3:8" x14ac:dyDescent="0.15">
      <c r="C219" s="26"/>
      <c r="E219" t="s">
        <v>496</v>
      </c>
      <c r="F219" t="s">
        <v>497</v>
      </c>
      <c r="G219" t="s">
        <v>498</v>
      </c>
      <c r="H219" t="s">
        <v>525</v>
      </c>
    </row>
    <row r="220" spans="3:8" x14ac:dyDescent="0.15">
      <c r="C220" s="26"/>
      <c r="E220" t="s">
        <v>499</v>
      </c>
      <c r="F220" t="s">
        <v>500</v>
      </c>
      <c r="G220" t="s">
        <v>501</v>
      </c>
      <c r="H220" t="s">
        <v>525</v>
      </c>
    </row>
    <row r="221" spans="3:8" x14ac:dyDescent="0.15">
      <c r="C221" s="26"/>
      <c r="H221" t="s">
        <v>525</v>
      </c>
    </row>
    <row r="222" spans="3:8" x14ac:dyDescent="0.15">
      <c r="C222" s="26"/>
      <c r="H222" t="s">
        <v>526</v>
      </c>
    </row>
    <row r="223" spans="3:8" x14ac:dyDescent="0.15">
      <c r="C223" s="26"/>
      <c r="H223" t="s">
        <v>526</v>
      </c>
    </row>
    <row r="224" spans="3:8" x14ac:dyDescent="0.15">
      <c r="C224" s="26"/>
      <c r="H224" t="s">
        <v>526</v>
      </c>
    </row>
    <row r="225" spans="2:8" x14ac:dyDescent="0.15">
      <c r="C225" s="26"/>
      <c r="E225" t="s">
        <v>502</v>
      </c>
      <c r="F225" t="s">
        <v>503</v>
      </c>
      <c r="G225" t="s">
        <v>504</v>
      </c>
      <c r="H225" t="s">
        <v>525</v>
      </c>
    </row>
    <row r="226" spans="2:8" x14ac:dyDescent="0.15">
      <c r="C226" s="26"/>
      <c r="E226" t="s">
        <v>505</v>
      </c>
      <c r="F226" t="s">
        <v>506</v>
      </c>
      <c r="G226" t="s">
        <v>507</v>
      </c>
      <c r="H226" t="s">
        <v>525</v>
      </c>
    </row>
    <row r="227" spans="2:8" x14ac:dyDescent="0.15">
      <c r="C227" s="26"/>
      <c r="E227" t="s">
        <v>508</v>
      </c>
      <c r="F227" s="20" t="s">
        <v>509</v>
      </c>
      <c r="G227" t="s">
        <v>510</v>
      </c>
      <c r="H227" t="s">
        <v>526</v>
      </c>
    </row>
    <row r="228" spans="2:8" x14ac:dyDescent="0.15">
      <c r="C228" s="26"/>
      <c r="E228" t="s">
        <v>334</v>
      </c>
      <c r="F228" t="s">
        <v>335</v>
      </c>
      <c r="G228" t="s">
        <v>336</v>
      </c>
      <c r="H228" t="s">
        <v>525</v>
      </c>
    </row>
    <row r="229" spans="2:8" x14ac:dyDescent="0.15">
      <c r="C229" s="26"/>
      <c r="E229" t="s">
        <v>511</v>
      </c>
      <c r="F229" t="s">
        <v>512</v>
      </c>
      <c r="G229" t="s">
        <v>513</v>
      </c>
      <c r="H229" t="s">
        <v>525</v>
      </c>
    </row>
    <row r="230" spans="2:8" x14ac:dyDescent="0.15">
      <c r="C230" s="26"/>
      <c r="H230" t="s">
        <v>525</v>
      </c>
    </row>
    <row r="231" spans="2:8" x14ac:dyDescent="0.15">
      <c r="C231" s="26"/>
      <c r="H231" t="s">
        <v>525</v>
      </c>
    </row>
    <row r="232" spans="2:8" x14ac:dyDescent="0.15">
      <c r="C232" s="26"/>
      <c r="H232" t="s">
        <v>525</v>
      </c>
    </row>
    <row r="233" spans="2:8" x14ac:dyDescent="0.15">
      <c r="C233" s="26"/>
      <c r="H233" t="s">
        <v>525</v>
      </c>
    </row>
    <row r="234" spans="2:8" x14ac:dyDescent="0.15">
      <c r="B234" s="20"/>
      <c r="C234" s="26"/>
      <c r="E234" t="s">
        <v>267</v>
      </c>
      <c r="F234" t="s">
        <v>268</v>
      </c>
      <c r="G234" t="s">
        <v>269</v>
      </c>
      <c r="H234" t="s">
        <v>525</v>
      </c>
    </row>
    <row r="235" spans="2:8" x14ac:dyDescent="0.15">
      <c r="C235" s="26"/>
      <c r="H235" t="s">
        <v>525</v>
      </c>
    </row>
    <row r="236" spans="2:8" x14ac:dyDescent="0.15">
      <c r="C236" s="26"/>
      <c r="H236" t="s">
        <v>525</v>
      </c>
    </row>
    <row r="237" spans="2:8" x14ac:dyDescent="0.15">
      <c r="C237" s="26"/>
      <c r="E237" t="s">
        <v>514</v>
      </c>
      <c r="F237" t="s">
        <v>515</v>
      </c>
      <c r="G237" t="s">
        <v>516</v>
      </c>
      <c r="H237" t="s">
        <v>525</v>
      </c>
    </row>
    <row r="238" spans="2:8" x14ac:dyDescent="0.15">
      <c r="C238" s="26"/>
      <c r="E238" t="s">
        <v>517</v>
      </c>
      <c r="F238" t="s">
        <v>518</v>
      </c>
      <c r="G238" t="s">
        <v>519</v>
      </c>
      <c r="H238" t="s">
        <v>526</v>
      </c>
    </row>
    <row r="239" spans="2:8" x14ac:dyDescent="0.15">
      <c r="C239" s="26"/>
      <c r="E239" t="s">
        <v>520</v>
      </c>
      <c r="F239" t="s">
        <v>521</v>
      </c>
      <c r="G239" t="s">
        <v>522</v>
      </c>
      <c r="H239" t="s">
        <v>526</v>
      </c>
    </row>
    <row r="240" spans="2:8" x14ac:dyDescent="0.15">
      <c r="B240" s="26"/>
      <c r="C240" s="26"/>
    </row>
    <row r="241" spans="3:3" x14ac:dyDescent="0.15">
      <c r="C241" s="26"/>
    </row>
    <row r="242" spans="3:3" x14ac:dyDescent="0.15">
      <c r="C242" s="26"/>
    </row>
    <row r="243" spans="3:3" x14ac:dyDescent="0.15">
      <c r="C243" s="26"/>
    </row>
    <row r="244" spans="3:3" x14ac:dyDescent="0.15">
      <c r="C244" s="26"/>
    </row>
    <row r="245" spans="3:3" x14ac:dyDescent="0.15">
      <c r="C245" s="26"/>
    </row>
    <row r="246" spans="3:3" x14ac:dyDescent="0.15">
      <c r="C246" s="26"/>
    </row>
    <row r="247" spans="3:3" x14ac:dyDescent="0.15">
      <c r="C247" s="26"/>
    </row>
    <row r="248" spans="3:3" x14ac:dyDescent="0.15">
      <c r="C248" s="26"/>
    </row>
    <row r="249" spans="3:3" x14ac:dyDescent="0.15">
      <c r="C249" s="26"/>
    </row>
    <row r="250" spans="3:3" x14ac:dyDescent="0.15">
      <c r="C250" s="26"/>
    </row>
    <row r="251" spans="3:3" x14ac:dyDescent="0.15">
      <c r="C251" s="26"/>
    </row>
    <row r="252" spans="3:3" x14ac:dyDescent="0.15">
      <c r="C252" s="26"/>
    </row>
    <row r="253" spans="3:3" x14ac:dyDescent="0.15">
      <c r="C253" s="26"/>
    </row>
    <row r="254" spans="3:3" x14ac:dyDescent="0.15">
      <c r="C254" s="26"/>
    </row>
    <row r="255" spans="3:3" x14ac:dyDescent="0.15">
      <c r="C255" s="26"/>
    </row>
    <row r="256" spans="3:3" x14ac:dyDescent="0.15">
      <c r="C256" s="26"/>
    </row>
    <row r="257" spans="3:3" x14ac:dyDescent="0.15">
      <c r="C257" s="26"/>
    </row>
    <row r="258" spans="3:3" x14ac:dyDescent="0.15">
      <c r="C258" s="26"/>
    </row>
    <row r="259" spans="3:3" x14ac:dyDescent="0.15">
      <c r="C259" s="26"/>
    </row>
    <row r="260" spans="3:3" x14ac:dyDescent="0.15">
      <c r="C260" s="26"/>
    </row>
    <row r="261" spans="3:3" x14ac:dyDescent="0.15">
      <c r="C261" s="26"/>
    </row>
    <row r="262" spans="3:3" x14ac:dyDescent="0.15">
      <c r="C262" s="26"/>
    </row>
    <row r="263" spans="3:3" x14ac:dyDescent="0.15">
      <c r="C263" s="26"/>
    </row>
    <row r="264" spans="3:3" x14ac:dyDescent="0.15">
      <c r="C264" s="26"/>
    </row>
    <row r="265" spans="3:3" x14ac:dyDescent="0.15">
      <c r="C265" s="26"/>
    </row>
    <row r="266" spans="3:3" x14ac:dyDescent="0.15">
      <c r="C266" s="26"/>
    </row>
    <row r="267" spans="3:3" x14ac:dyDescent="0.15">
      <c r="C267" s="26"/>
    </row>
    <row r="268" spans="3:3" x14ac:dyDescent="0.15">
      <c r="C268" s="26"/>
    </row>
    <row r="269" spans="3:3" x14ac:dyDescent="0.15">
      <c r="C269" s="26"/>
    </row>
    <row r="270" spans="3:3" x14ac:dyDescent="0.15">
      <c r="C270" s="26"/>
    </row>
    <row r="271" spans="3:3" x14ac:dyDescent="0.15">
      <c r="C271" s="26"/>
    </row>
    <row r="272" spans="3:3" x14ac:dyDescent="0.15">
      <c r="C272" s="26"/>
    </row>
    <row r="273" spans="3:3" x14ac:dyDescent="0.15">
      <c r="C273" s="26"/>
    </row>
    <row r="274" spans="3:3" x14ac:dyDescent="0.15">
      <c r="C274" s="26"/>
    </row>
    <row r="275" spans="3:3" x14ac:dyDescent="0.15">
      <c r="C275" s="26"/>
    </row>
    <row r="276" spans="3:3" x14ac:dyDescent="0.15">
      <c r="C276" s="26"/>
    </row>
    <row r="277" spans="3:3" x14ac:dyDescent="0.15">
      <c r="C277" s="26"/>
    </row>
    <row r="278" spans="3:3" x14ac:dyDescent="0.15">
      <c r="C278" s="26"/>
    </row>
    <row r="279" spans="3:3" x14ac:dyDescent="0.15">
      <c r="C279" s="26"/>
    </row>
    <row r="280" spans="3:3" x14ac:dyDescent="0.15">
      <c r="C280" s="26"/>
    </row>
    <row r="281" spans="3:3" x14ac:dyDescent="0.15">
      <c r="C281" s="26"/>
    </row>
    <row r="282" spans="3:3" x14ac:dyDescent="0.15">
      <c r="C282" s="26"/>
    </row>
    <row r="283" spans="3:3" x14ac:dyDescent="0.15">
      <c r="C283" s="26"/>
    </row>
    <row r="284" spans="3:3" x14ac:dyDescent="0.15">
      <c r="C284" s="26"/>
    </row>
    <row r="285" spans="3:3" x14ac:dyDescent="0.15">
      <c r="C285" s="26"/>
    </row>
    <row r="286" spans="3:3" x14ac:dyDescent="0.15">
      <c r="C286" s="26"/>
    </row>
    <row r="287" spans="3:3" x14ac:dyDescent="0.15">
      <c r="C287" s="26"/>
    </row>
    <row r="288" spans="3:3" x14ac:dyDescent="0.15">
      <c r="C288" s="26"/>
    </row>
    <row r="289" spans="3:3" x14ac:dyDescent="0.15">
      <c r="C289" s="26"/>
    </row>
    <row r="290" spans="3:3" x14ac:dyDescent="0.15">
      <c r="C290" s="26"/>
    </row>
    <row r="291" spans="3:3" x14ac:dyDescent="0.15">
      <c r="C291" s="26"/>
    </row>
    <row r="292" spans="3:3" x14ac:dyDescent="0.15">
      <c r="C292" s="26"/>
    </row>
    <row r="293" spans="3:3" x14ac:dyDescent="0.15">
      <c r="C293" s="26"/>
    </row>
    <row r="294" spans="3:3" x14ac:dyDescent="0.15">
      <c r="C294" s="26"/>
    </row>
    <row r="295" spans="3:3" x14ac:dyDescent="0.15">
      <c r="C295" s="26"/>
    </row>
    <row r="296" spans="3:3" x14ac:dyDescent="0.15">
      <c r="C296" s="26"/>
    </row>
    <row r="297" spans="3:3" x14ac:dyDescent="0.15">
      <c r="C297" s="26"/>
    </row>
    <row r="298" spans="3:3" x14ac:dyDescent="0.15">
      <c r="C298" s="26"/>
    </row>
    <row r="299" spans="3:3" x14ac:dyDescent="0.15">
      <c r="C299" s="26"/>
    </row>
    <row r="300" spans="3:3" x14ac:dyDescent="0.15">
      <c r="C300" s="26"/>
    </row>
    <row r="301" spans="3:3" x14ac:dyDescent="0.15">
      <c r="C301" s="26"/>
    </row>
    <row r="302" spans="3:3" x14ac:dyDescent="0.15">
      <c r="C302" s="26"/>
    </row>
    <row r="303" spans="3:3" x14ac:dyDescent="0.15">
      <c r="C303" s="26"/>
    </row>
    <row r="304" spans="3:3" x14ac:dyDescent="0.15">
      <c r="C304" s="26"/>
    </row>
    <row r="305" spans="3:3" x14ac:dyDescent="0.15">
      <c r="C305" s="26"/>
    </row>
    <row r="306" spans="3:3" x14ac:dyDescent="0.15">
      <c r="C306" s="26"/>
    </row>
    <row r="307" spans="3:3" x14ac:dyDescent="0.15">
      <c r="C307" s="26"/>
    </row>
    <row r="308" spans="3:3" x14ac:dyDescent="0.15">
      <c r="C308" s="26"/>
    </row>
    <row r="309" spans="3:3" x14ac:dyDescent="0.15">
      <c r="C309" s="26"/>
    </row>
    <row r="310" spans="3:3" x14ac:dyDescent="0.15">
      <c r="C310" s="26"/>
    </row>
    <row r="311" spans="3:3" x14ac:dyDescent="0.15">
      <c r="C311" s="26"/>
    </row>
    <row r="312" spans="3:3" x14ac:dyDescent="0.15">
      <c r="C312" s="26"/>
    </row>
    <row r="313" spans="3:3" x14ac:dyDescent="0.15">
      <c r="C313" s="26"/>
    </row>
    <row r="314" spans="3:3" x14ac:dyDescent="0.15">
      <c r="C314" s="26"/>
    </row>
    <row r="315" spans="3:3" x14ac:dyDescent="0.15">
      <c r="C315" s="26"/>
    </row>
    <row r="316" spans="3:3" x14ac:dyDescent="0.15">
      <c r="C316" s="26"/>
    </row>
    <row r="317" spans="3:3" x14ac:dyDescent="0.15">
      <c r="C317" s="26"/>
    </row>
    <row r="318" spans="3:3" x14ac:dyDescent="0.15">
      <c r="C318" s="26"/>
    </row>
    <row r="319" spans="3:3" x14ac:dyDescent="0.15">
      <c r="C319" s="26"/>
    </row>
    <row r="320" spans="3:3" x14ac:dyDescent="0.15">
      <c r="C320" s="26"/>
    </row>
    <row r="321" spans="3:3" x14ac:dyDescent="0.15">
      <c r="C321" s="26"/>
    </row>
    <row r="322" spans="3:3" x14ac:dyDescent="0.15">
      <c r="C322" s="26"/>
    </row>
    <row r="323" spans="3:3" x14ac:dyDescent="0.15">
      <c r="C323" s="26"/>
    </row>
    <row r="324" spans="3:3" x14ac:dyDescent="0.15">
      <c r="C324" s="26"/>
    </row>
    <row r="325" spans="3:3" x14ac:dyDescent="0.15">
      <c r="C325" s="26"/>
    </row>
    <row r="326" spans="3:3" x14ac:dyDescent="0.15">
      <c r="C326" s="26"/>
    </row>
    <row r="327" spans="3:3" x14ac:dyDescent="0.15">
      <c r="C327" s="26"/>
    </row>
    <row r="328" spans="3:3" x14ac:dyDescent="0.15">
      <c r="C328" s="26"/>
    </row>
    <row r="329" spans="3:3" x14ac:dyDescent="0.15">
      <c r="C329" s="26"/>
    </row>
    <row r="330" spans="3:3" x14ac:dyDescent="0.15">
      <c r="C330" s="26"/>
    </row>
    <row r="331" spans="3:3" x14ac:dyDescent="0.15">
      <c r="C331" s="26"/>
    </row>
    <row r="332" spans="3:3" x14ac:dyDescent="0.15">
      <c r="C332" s="26"/>
    </row>
    <row r="333" spans="3:3" x14ac:dyDescent="0.15">
      <c r="C333" s="26"/>
    </row>
    <row r="334" spans="3:3" x14ac:dyDescent="0.15">
      <c r="C334" s="26"/>
    </row>
    <row r="335" spans="3:3" x14ac:dyDescent="0.15">
      <c r="C335" s="26"/>
    </row>
    <row r="336" spans="3:3" x14ac:dyDescent="0.15">
      <c r="C336" s="26"/>
    </row>
    <row r="337" spans="3:3" x14ac:dyDescent="0.15">
      <c r="C337" s="26"/>
    </row>
    <row r="338" spans="3:3" x14ac:dyDescent="0.15">
      <c r="C338" s="26"/>
    </row>
    <row r="339" spans="3:3" x14ac:dyDescent="0.15">
      <c r="C339" s="26"/>
    </row>
    <row r="340" spans="3:3" x14ac:dyDescent="0.15">
      <c r="C340" s="26"/>
    </row>
    <row r="341" spans="3:3" x14ac:dyDescent="0.15">
      <c r="C341" s="26"/>
    </row>
    <row r="342" spans="3:3" x14ac:dyDescent="0.15">
      <c r="C342" s="26"/>
    </row>
    <row r="343" spans="3:3" x14ac:dyDescent="0.15">
      <c r="C343" s="26"/>
    </row>
    <row r="344" spans="3:3" x14ac:dyDescent="0.15">
      <c r="C344" s="26"/>
    </row>
    <row r="345" spans="3:3" x14ac:dyDescent="0.15">
      <c r="C345" s="26"/>
    </row>
    <row r="346" spans="3:3" x14ac:dyDescent="0.15">
      <c r="C346" s="26"/>
    </row>
    <row r="347" spans="3:3" x14ac:dyDescent="0.15">
      <c r="C347" s="26"/>
    </row>
    <row r="348" spans="3:3" x14ac:dyDescent="0.15">
      <c r="C348" s="26"/>
    </row>
    <row r="349" spans="3:3" x14ac:dyDescent="0.15">
      <c r="C349" s="26"/>
    </row>
    <row r="350" spans="3:3" x14ac:dyDescent="0.15">
      <c r="C350" s="26"/>
    </row>
    <row r="351" spans="3:3" x14ac:dyDescent="0.15">
      <c r="C351" s="26"/>
    </row>
    <row r="352" spans="3:3" x14ac:dyDescent="0.15">
      <c r="C352" s="26"/>
    </row>
    <row r="353" spans="3:3" x14ac:dyDescent="0.15">
      <c r="C353" s="26"/>
    </row>
    <row r="354" spans="3:3" x14ac:dyDescent="0.15">
      <c r="C354" s="26"/>
    </row>
    <row r="355" spans="3:3" x14ac:dyDescent="0.15">
      <c r="C355" s="26"/>
    </row>
    <row r="356" spans="3:3" x14ac:dyDescent="0.15">
      <c r="C356" s="26"/>
    </row>
    <row r="357" spans="3:3" x14ac:dyDescent="0.15">
      <c r="C357" s="26"/>
    </row>
    <row r="358" spans="3:3" x14ac:dyDescent="0.15">
      <c r="C358" s="26"/>
    </row>
    <row r="359" spans="3:3" x14ac:dyDescent="0.15">
      <c r="C359" s="26"/>
    </row>
    <row r="360" spans="3:3" x14ac:dyDescent="0.15">
      <c r="C360" s="26"/>
    </row>
    <row r="361" spans="3:3" x14ac:dyDescent="0.15">
      <c r="C361" s="26"/>
    </row>
    <row r="362" spans="3:3" x14ac:dyDescent="0.15">
      <c r="C362" s="26"/>
    </row>
    <row r="363" spans="3:3" x14ac:dyDescent="0.15">
      <c r="C363" s="26"/>
    </row>
    <row r="364" spans="3:3" x14ac:dyDescent="0.15">
      <c r="C364" s="26"/>
    </row>
    <row r="365" spans="3:3" x14ac:dyDescent="0.15">
      <c r="C365" s="26"/>
    </row>
    <row r="366" spans="3:3" x14ac:dyDescent="0.15">
      <c r="C366" s="26"/>
    </row>
    <row r="367" spans="3:3" x14ac:dyDescent="0.15">
      <c r="C367" s="26"/>
    </row>
    <row r="368" spans="3:3" x14ac:dyDescent="0.15">
      <c r="C368" s="26"/>
    </row>
    <row r="369" spans="3:3" x14ac:dyDescent="0.15">
      <c r="C369" s="26"/>
    </row>
    <row r="370" spans="3:3" x14ac:dyDescent="0.15">
      <c r="C370" s="26"/>
    </row>
    <row r="371" spans="3:3" x14ac:dyDescent="0.15">
      <c r="C371" s="26"/>
    </row>
    <row r="372" spans="3:3" x14ac:dyDescent="0.15">
      <c r="C372" s="26"/>
    </row>
    <row r="373" spans="3:3" x14ac:dyDescent="0.15">
      <c r="C373" s="26"/>
    </row>
    <row r="374" spans="3:3" x14ac:dyDescent="0.15">
      <c r="C374" s="26"/>
    </row>
    <row r="375" spans="3:3" x14ac:dyDescent="0.15">
      <c r="C375" s="26"/>
    </row>
    <row r="376" spans="3:3" x14ac:dyDescent="0.15">
      <c r="C376" s="26"/>
    </row>
    <row r="377" spans="3:3" x14ac:dyDescent="0.15">
      <c r="C377" s="26"/>
    </row>
    <row r="378" spans="3:3" x14ac:dyDescent="0.15">
      <c r="C378" s="26"/>
    </row>
    <row r="379" spans="3:3" x14ac:dyDescent="0.15">
      <c r="C379" s="26"/>
    </row>
    <row r="380" spans="3:3" x14ac:dyDescent="0.15">
      <c r="C380" s="26"/>
    </row>
    <row r="381" spans="3:3" x14ac:dyDescent="0.15">
      <c r="C381" s="26"/>
    </row>
    <row r="382" spans="3:3" x14ac:dyDescent="0.15">
      <c r="C382" s="26"/>
    </row>
    <row r="383" spans="3:3" x14ac:dyDescent="0.15">
      <c r="C383" s="26"/>
    </row>
    <row r="384" spans="3:3" x14ac:dyDescent="0.15">
      <c r="C384" s="26"/>
    </row>
    <row r="385" spans="3:3" x14ac:dyDescent="0.15">
      <c r="C385" s="26"/>
    </row>
    <row r="386" spans="3:3" x14ac:dyDescent="0.15">
      <c r="C386" s="26"/>
    </row>
    <row r="387" spans="3:3" x14ac:dyDescent="0.15">
      <c r="C387" s="26"/>
    </row>
    <row r="388" spans="3:3" x14ac:dyDescent="0.15">
      <c r="C388" s="26"/>
    </row>
    <row r="389" spans="3:3" x14ac:dyDescent="0.15">
      <c r="C389" s="26"/>
    </row>
    <row r="390" spans="3:3" x14ac:dyDescent="0.15">
      <c r="C390" s="26"/>
    </row>
    <row r="391" spans="3:3" x14ac:dyDescent="0.15">
      <c r="C391" s="26"/>
    </row>
    <row r="392" spans="3:3" x14ac:dyDescent="0.15">
      <c r="C392" s="26"/>
    </row>
    <row r="393" spans="3:3" x14ac:dyDescent="0.15">
      <c r="C393" s="26"/>
    </row>
    <row r="394" spans="3:3" x14ac:dyDescent="0.15">
      <c r="C394" s="26"/>
    </row>
    <row r="395" spans="3:3" x14ac:dyDescent="0.15">
      <c r="C395" s="26"/>
    </row>
    <row r="396" spans="3:3" x14ac:dyDescent="0.15">
      <c r="C396" s="26"/>
    </row>
    <row r="397" spans="3:3" x14ac:dyDescent="0.15">
      <c r="C397" s="26"/>
    </row>
    <row r="398" spans="3:3" x14ac:dyDescent="0.15">
      <c r="C398" s="26"/>
    </row>
    <row r="399" spans="3:3" x14ac:dyDescent="0.15">
      <c r="C399" s="26"/>
    </row>
    <row r="400" spans="3:3" x14ac:dyDescent="0.15">
      <c r="C400" s="26"/>
    </row>
    <row r="401" spans="3:3" x14ac:dyDescent="0.15">
      <c r="C401" s="26"/>
    </row>
    <row r="402" spans="3:3" x14ac:dyDescent="0.15">
      <c r="C402" s="26"/>
    </row>
    <row r="403" spans="3:3" x14ac:dyDescent="0.15">
      <c r="C403" s="26"/>
    </row>
    <row r="404" spans="3:3" x14ac:dyDescent="0.15">
      <c r="C404" s="26"/>
    </row>
    <row r="405" spans="3:3" x14ac:dyDescent="0.15">
      <c r="C405" s="26"/>
    </row>
    <row r="406" spans="3:3" x14ac:dyDescent="0.15">
      <c r="C406" s="26"/>
    </row>
    <row r="407" spans="3:3" x14ac:dyDescent="0.15">
      <c r="C407" s="26"/>
    </row>
    <row r="408" spans="3:3" x14ac:dyDescent="0.15">
      <c r="C408" s="26"/>
    </row>
    <row r="409" spans="3:3" x14ac:dyDescent="0.15">
      <c r="C409" s="26"/>
    </row>
    <row r="410" spans="3:3" x14ac:dyDescent="0.15">
      <c r="C410" s="26"/>
    </row>
    <row r="411" spans="3:3" x14ac:dyDescent="0.15">
      <c r="C411" s="26"/>
    </row>
    <row r="412" spans="3:3" x14ac:dyDescent="0.15">
      <c r="C412" s="26"/>
    </row>
    <row r="413" spans="3:3" x14ac:dyDescent="0.15">
      <c r="C413" s="26"/>
    </row>
    <row r="414" spans="3:3" x14ac:dyDescent="0.15">
      <c r="C414" s="26"/>
    </row>
    <row r="415" spans="3:3" x14ac:dyDescent="0.15">
      <c r="C415" s="26"/>
    </row>
    <row r="416" spans="3:3" x14ac:dyDescent="0.15">
      <c r="C416" s="26"/>
    </row>
    <row r="417" spans="2:3" x14ac:dyDescent="0.15">
      <c r="C417" s="26"/>
    </row>
    <row r="418" spans="2:3" x14ac:dyDescent="0.15">
      <c r="C418" s="26"/>
    </row>
    <row r="419" spans="2:3" x14ac:dyDescent="0.15">
      <c r="C419" s="26"/>
    </row>
    <row r="420" spans="2:3" x14ac:dyDescent="0.15">
      <c r="C420" s="26"/>
    </row>
    <row r="421" spans="2:3" x14ac:dyDescent="0.15">
      <c r="C421" s="26"/>
    </row>
    <row r="422" spans="2:3" x14ac:dyDescent="0.15">
      <c r="C422" s="26"/>
    </row>
    <row r="423" spans="2:3" x14ac:dyDescent="0.15">
      <c r="C423" s="26"/>
    </row>
    <row r="424" spans="2:3" x14ac:dyDescent="0.15">
      <c r="C424" s="26"/>
    </row>
    <row r="425" spans="2:3" x14ac:dyDescent="0.15">
      <c r="C425" s="26"/>
    </row>
    <row r="426" spans="2:3" x14ac:dyDescent="0.15">
      <c r="C426" s="26"/>
    </row>
    <row r="427" spans="2:3" x14ac:dyDescent="0.15">
      <c r="C427" s="26"/>
    </row>
    <row r="428" spans="2:3" x14ac:dyDescent="0.15">
      <c r="C428" s="26"/>
    </row>
    <row r="429" spans="2:3" x14ac:dyDescent="0.15">
      <c r="B429" s="20"/>
      <c r="C429" s="26"/>
    </row>
    <row r="430" spans="2:3" x14ac:dyDescent="0.15">
      <c r="C430" s="26"/>
    </row>
    <row r="431" spans="2:3" x14ac:dyDescent="0.15">
      <c r="C431" s="26"/>
    </row>
    <row r="432" spans="2:3" x14ac:dyDescent="0.15">
      <c r="C432" s="26"/>
    </row>
    <row r="433" spans="3:3" x14ac:dyDescent="0.15">
      <c r="C433" s="26"/>
    </row>
    <row r="434" spans="3:3" x14ac:dyDescent="0.15">
      <c r="C434" s="26"/>
    </row>
    <row r="435" spans="3:3" x14ac:dyDescent="0.15">
      <c r="C435" s="26"/>
    </row>
    <row r="436" spans="3:3" x14ac:dyDescent="0.15">
      <c r="C436" s="26"/>
    </row>
  </sheetData>
  <autoFilter ref="A1:N436"/>
  <sortState ref="B2:B436">
    <sortCondition ref="B1"/>
  </sortState>
  <phoneticPr fontId="12" type="noConversion"/>
  <conditionalFormatting sqref="E3:E14 E235:E239">
    <cfRule type="duplicateValues" dxfId="2" priority="3"/>
  </conditionalFormatting>
  <conditionalFormatting sqref="E3:E14 E235:E239">
    <cfRule type="duplicateValues" dxfId="1" priority="2"/>
  </conditionalFormatting>
  <conditionalFormatting sqref="E3:E239">
    <cfRule type="duplicateValues" dxfId="0" priority="1"/>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74F6BA447190E438C19F8A22E273BC6" ma:contentTypeVersion="0" ma:contentTypeDescription="Create a new document." ma:contentTypeScope="" ma:versionID="247434cfcfa1e706d3184f01d0a4af8b">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B3319F-269A-4998-A02E-A9D7A54DA7F1}">
  <ds:schemaRefs>
    <ds:schemaRef ds:uri="http://schemas.microsoft.com/sharepoint/v3/contenttype/forms"/>
  </ds:schemaRefs>
</ds:datastoreItem>
</file>

<file path=customXml/itemProps2.xml><?xml version="1.0" encoding="utf-8"?>
<ds:datastoreItem xmlns:ds="http://schemas.openxmlformats.org/officeDocument/2006/customXml" ds:itemID="{4421763D-C6E4-42C3-9EBB-F8E6482CD57E}">
  <ds:schemaRefs>
    <ds:schemaRef ds:uri="http://schemas.microsoft.com/office/2006/metadata/properties"/>
    <ds:schemaRef ds:uri="http://schemas.openxmlformats.org/package/2006/metadata/core-properties"/>
    <ds:schemaRef ds:uri="http://purl.org/dc/dcmitype/"/>
    <ds:schemaRef ds:uri="http://purl.org/dc/elements/1.1/"/>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FE74F530-E1D1-4480-80A9-B3C54EC740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260</vt:lpstr>
      <vt:lpstr>Change Log</vt:lpstr>
      <vt:lpstr>OXO Update Log</vt:lpstr>
      <vt:lpstr>Process</vt:lpstr>
      <vt:lpstr>EFG</vt:lpstr>
      <vt:lpstr>Glossary</vt:lpstr>
      <vt:lpstr>ORM Log</vt:lpstr>
      <vt:lpstr>XCL ORM Log</vt:lpstr>
      <vt:lpstr>Prev ORM Log</vt:lpstr>
      <vt:lpstr>Prev XCL ORM Log</vt:lpstr>
      <vt:lpstr>Data</vt:lpstr>
    </vt:vector>
  </TitlesOfParts>
  <Company>Jaguar Land Rover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Chiu, Terence (T.)</dc:creator>
  <cp:lastModifiedBy>Yu Yuan 袁瑜(Manufacturing-NMP)</cp:lastModifiedBy>
  <cp:lastPrinted>2013-10-16T09:00:48Z</cp:lastPrinted>
  <dcterms:created xsi:type="dcterms:W3CDTF">2012-10-09T12:05:59Z</dcterms:created>
  <dcterms:modified xsi:type="dcterms:W3CDTF">2020-01-15T08:32:19Z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0x010100A74F6BA447190E438C19F8A22E273BC6</vt:lpwstr>
  </property>
</Properties>
</file>